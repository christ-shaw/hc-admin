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06" windowHeight="11560"/>
  </bookViews>
  <sheets>
    <sheet name="产品资料" sheetId="1" r:id="rId1"/>
    <sheet name="订单明细" sheetId="3" r:id="rId2"/>
    <sheet name="填写要求" sheetId="4" r:id="rId3"/>
  </sheets>
  <definedNames>
    <definedName name="_xlnm._FilterDatabase" localSheetId="0" hidden="1">产品资料!$A$1:$F$448</definedName>
    <definedName name="_xlnm._FilterDatabase" localSheetId="1" hidden="1">订单明细!$B$1:$Y$66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<sst xmlns="http://schemas.openxmlformats.org/spreadsheetml/2006/main" count="2237" uniqueCount="501">
  <si>
    <t>辅助</t>
  </si>
  <si>
    <t>类别</t>
  </si>
  <si>
    <t>品牌</t>
  </si>
  <si>
    <t>货品名称</t>
  </si>
  <si>
    <t>规格</t>
  </si>
  <si>
    <t>备注</t>
  </si>
  <si>
    <t>6.1报价</t>
  </si>
  <si>
    <t>序号</t>
  </si>
  <si>
    <t>订单类型</t>
  </si>
  <si>
    <t>渠道类别</t>
  </si>
  <si>
    <t>销售渠道</t>
  </si>
  <si>
    <t>业务员</t>
  </si>
  <si>
    <t>订单状态</t>
  </si>
  <si>
    <t>电脑</t>
  </si>
  <si>
    <t>联想</t>
  </si>
  <si>
    <t>联想电脑</t>
  </si>
  <si>
    <t>默认</t>
  </si>
  <si>
    <t>/</t>
  </si>
  <si>
    <t>新增业务</t>
  </si>
  <si>
    <t>平台</t>
  </si>
  <si>
    <t>A人人租-Z</t>
  </si>
  <si>
    <t>ZZ</t>
  </si>
  <si>
    <t>已发货</t>
  </si>
  <si>
    <t>手机</t>
  </si>
  <si>
    <t>惠普</t>
  </si>
  <si>
    <t>HP电脑</t>
  </si>
  <si>
    <t>租后发货</t>
  </si>
  <si>
    <t>F人人租-L</t>
  </si>
  <si>
    <t>LL</t>
  </si>
  <si>
    <t>不用发货</t>
  </si>
  <si>
    <t>苹果</t>
  </si>
  <si>
    <t>IPADAIR2</t>
  </si>
  <si>
    <t>租后退货</t>
  </si>
  <si>
    <t>云途</t>
  </si>
  <si>
    <t>XX</t>
  </si>
  <si>
    <t>退货已收</t>
  </si>
  <si>
    <t>ipadair7</t>
  </si>
  <si>
    <t>仅退款</t>
  </si>
  <si>
    <t>汇租机</t>
  </si>
  <si>
    <t>YY</t>
  </si>
  <si>
    <t>退发已发</t>
  </si>
  <si>
    <t>IPADMINI</t>
  </si>
  <si>
    <t>4G</t>
  </si>
  <si>
    <t>退租金</t>
  </si>
  <si>
    <t>租机乐</t>
  </si>
  <si>
    <t>--</t>
  </si>
  <si>
    <t>5G</t>
  </si>
  <si>
    <t>退押金</t>
  </si>
  <si>
    <t>倬石电子</t>
  </si>
  <si>
    <t>委托代发</t>
  </si>
  <si>
    <t>云界互联</t>
  </si>
  <si>
    <t>ipadmini4</t>
  </si>
  <si>
    <t>极客矩阵</t>
  </si>
  <si>
    <t>ipadmini5</t>
  </si>
  <si>
    <t>极速闪租</t>
  </si>
  <si>
    <t>ipadpro11</t>
  </si>
  <si>
    <t>L人人租</t>
  </si>
  <si>
    <t>ipadpro12</t>
  </si>
  <si>
    <t>J人人租</t>
  </si>
  <si>
    <t>ipadpro9</t>
  </si>
  <si>
    <t>G人人租</t>
  </si>
  <si>
    <t>IRAD7</t>
  </si>
  <si>
    <t>线下</t>
  </si>
  <si>
    <t>X/A人人租</t>
  </si>
  <si>
    <t>MOTO</t>
  </si>
  <si>
    <t>MOTOX40</t>
  </si>
  <si>
    <t>X/F人人租</t>
  </si>
  <si>
    <t>OPPO</t>
  </si>
  <si>
    <t>OPPO A32</t>
  </si>
  <si>
    <t>X/云途</t>
  </si>
  <si>
    <t>OPPO a56</t>
  </si>
  <si>
    <t>X/汇租机</t>
  </si>
  <si>
    <t>oppo a8</t>
  </si>
  <si>
    <t>X/租机乐</t>
  </si>
  <si>
    <t>OPPO R11P</t>
  </si>
  <si>
    <t>X/倬石</t>
  </si>
  <si>
    <t>OPPO R17PRO</t>
  </si>
  <si>
    <t>OPPO r9</t>
  </si>
  <si>
    <t>OPPO Reno13 Pro</t>
  </si>
  <si>
    <t>OPPOA1X</t>
  </si>
  <si>
    <t>OPPOA5</t>
  </si>
  <si>
    <t>OPPOA53</t>
  </si>
  <si>
    <t>OPPOA57</t>
  </si>
  <si>
    <t>OPPOA58</t>
  </si>
  <si>
    <t>OPPOA58x</t>
  </si>
  <si>
    <t>OPPOA72</t>
  </si>
  <si>
    <t>OPPOA92s</t>
  </si>
  <si>
    <t>OPPOA92S 5G</t>
  </si>
  <si>
    <t>OPPOA96</t>
  </si>
  <si>
    <t>OPPOA97</t>
  </si>
  <si>
    <t>OPPOK5</t>
  </si>
  <si>
    <t>OPPOK9</t>
  </si>
  <si>
    <t>OPPOR11</t>
  </si>
  <si>
    <t>OPPOR15</t>
  </si>
  <si>
    <t>OPPOR17</t>
  </si>
  <si>
    <t>OPPOReno13</t>
  </si>
  <si>
    <t>OPPOReno4</t>
  </si>
  <si>
    <t>OPPOReno4PRO</t>
  </si>
  <si>
    <t>OPPOReno4PRO 5G</t>
  </si>
  <si>
    <t>OPPOReno5</t>
  </si>
  <si>
    <t>OPPOReno5PRO</t>
  </si>
  <si>
    <t>OPPOReno6</t>
  </si>
  <si>
    <t>OPPOReno8</t>
  </si>
  <si>
    <t>128G</t>
  </si>
  <si>
    <t>8+128G</t>
  </si>
  <si>
    <t>256G</t>
  </si>
  <si>
    <t>8+256G</t>
  </si>
  <si>
    <t>OPPOv11</t>
  </si>
  <si>
    <t>索尼</t>
  </si>
  <si>
    <t>Sony x5</t>
  </si>
  <si>
    <t>vivo</t>
  </si>
  <si>
    <t>vivo X200 Pro mini</t>
  </si>
  <si>
    <t>VIVO x30</t>
  </si>
  <si>
    <t>VIVOIQOO</t>
  </si>
  <si>
    <t>VIVONEXS</t>
  </si>
  <si>
    <t>VIVOS10</t>
  </si>
  <si>
    <t>VIVOS10PRO</t>
  </si>
  <si>
    <t>VIVOS12</t>
  </si>
  <si>
    <t>vivoS6</t>
  </si>
  <si>
    <t>VIVOS7</t>
  </si>
  <si>
    <t>VIVOS75</t>
  </si>
  <si>
    <t>VIVOX12</t>
  </si>
  <si>
    <t>VIVOX21</t>
  </si>
  <si>
    <t>VIVOX21A</t>
  </si>
  <si>
    <t>VIVOX27</t>
  </si>
  <si>
    <t>VIVOy30</t>
  </si>
  <si>
    <t>VIVOY51s</t>
  </si>
  <si>
    <t>VIVOY5S</t>
  </si>
  <si>
    <t>vivoy70S</t>
  </si>
  <si>
    <t>大疆</t>
  </si>
  <si>
    <t>大疆pocket3全能版相机</t>
  </si>
  <si>
    <t>谷歌</t>
  </si>
  <si>
    <t>谷歌2</t>
  </si>
  <si>
    <t>谷歌3</t>
  </si>
  <si>
    <t>谷歌3A</t>
  </si>
  <si>
    <t>谷歌3解BL</t>
  </si>
  <si>
    <t>谷歌3有锁</t>
  </si>
  <si>
    <t>谷歌4</t>
  </si>
  <si>
    <t>谷歌5</t>
  </si>
  <si>
    <t>谷歌5有锁</t>
  </si>
  <si>
    <t>红米</t>
  </si>
  <si>
    <t>红米10A</t>
  </si>
  <si>
    <t>红米10X</t>
  </si>
  <si>
    <t>红米10XPRO</t>
  </si>
  <si>
    <t>红米12C</t>
  </si>
  <si>
    <t>红米13C</t>
  </si>
  <si>
    <t>红米13R</t>
  </si>
  <si>
    <t>红米6</t>
  </si>
  <si>
    <t>红米8</t>
  </si>
  <si>
    <t>红米8A</t>
  </si>
  <si>
    <t>红米9</t>
  </si>
  <si>
    <t>红米9A</t>
  </si>
  <si>
    <t>红米9解BL</t>
  </si>
  <si>
    <t>红米K20PRO</t>
  </si>
  <si>
    <t>红米K30</t>
  </si>
  <si>
    <t>红米K304G解BL</t>
  </si>
  <si>
    <t>红米K305G解BL</t>
  </si>
  <si>
    <t>红米K30i</t>
  </si>
  <si>
    <t>红米K30解BL</t>
  </si>
  <si>
    <t>红米K40</t>
  </si>
  <si>
    <t>游戏版</t>
  </si>
  <si>
    <t>红米K40PRO</t>
  </si>
  <si>
    <t>红米K40解BL</t>
  </si>
  <si>
    <t>红米k60</t>
  </si>
  <si>
    <t>红米K80</t>
  </si>
  <si>
    <t>红米note10</t>
  </si>
  <si>
    <t>红米note10PRO</t>
  </si>
  <si>
    <t>红米note10PRO解BL</t>
  </si>
  <si>
    <t>红米note10解BL</t>
  </si>
  <si>
    <t>红米note11</t>
  </si>
  <si>
    <t>红米note11PRO</t>
  </si>
  <si>
    <t>红米note11PRO解BL</t>
  </si>
  <si>
    <t>红米note11解BL</t>
  </si>
  <si>
    <t>红米note12</t>
  </si>
  <si>
    <t>红米note12PRO</t>
  </si>
  <si>
    <t>红米note12解BL</t>
  </si>
  <si>
    <t>红米note13</t>
  </si>
  <si>
    <t>红米note13PRO</t>
  </si>
  <si>
    <t>红米note14</t>
  </si>
  <si>
    <t>红米note14PRO</t>
  </si>
  <si>
    <t>红米note5</t>
  </si>
  <si>
    <t>红米note7</t>
  </si>
  <si>
    <t>红米note7PRO</t>
  </si>
  <si>
    <t>红米note7PRO解BL</t>
  </si>
  <si>
    <t>红米note7解BL</t>
  </si>
  <si>
    <t>红米note8</t>
  </si>
  <si>
    <t>红米note8PRO</t>
  </si>
  <si>
    <t>红米note8PRO解BL</t>
  </si>
  <si>
    <t>红米note8解BL</t>
  </si>
  <si>
    <t>红米note9 4G</t>
  </si>
  <si>
    <t>红米note9 5G</t>
  </si>
  <si>
    <t>红米note94G解BL</t>
  </si>
  <si>
    <t>红米note95G解BL</t>
  </si>
  <si>
    <t>红米note9PRO</t>
  </si>
  <si>
    <t>红米note9PRO解BL</t>
  </si>
  <si>
    <t>红米note9解BL</t>
  </si>
  <si>
    <t>红米Turbo3</t>
  </si>
  <si>
    <t>红米Turbo4</t>
  </si>
  <si>
    <t>华为</t>
  </si>
  <si>
    <t>华为Davinci</t>
  </si>
  <si>
    <t>华为mate10</t>
  </si>
  <si>
    <t>华为mate10pro</t>
  </si>
  <si>
    <t>华为mate20</t>
  </si>
  <si>
    <t>华为mate30</t>
  </si>
  <si>
    <t>G华为mate30</t>
  </si>
  <si>
    <t>华为mate30PRO</t>
  </si>
  <si>
    <t>华为mate40</t>
  </si>
  <si>
    <t>华为mate40pro</t>
  </si>
  <si>
    <t>华为Mate8</t>
  </si>
  <si>
    <t>华为Mate9</t>
  </si>
  <si>
    <t>华为matePad</t>
  </si>
  <si>
    <t>华为nova10PRO</t>
  </si>
  <si>
    <t>华为nova10SE</t>
  </si>
  <si>
    <t>华为nova12</t>
  </si>
  <si>
    <t>华为nova13</t>
  </si>
  <si>
    <t>华为nova13PRO</t>
  </si>
  <si>
    <t>华为nova2s</t>
  </si>
  <si>
    <t>华为nova3</t>
  </si>
  <si>
    <t>华为nova4</t>
  </si>
  <si>
    <t>华为nova5PRO</t>
  </si>
  <si>
    <t>G华为nova5PRO</t>
  </si>
  <si>
    <t>华为nova6</t>
  </si>
  <si>
    <t>G华为nova6</t>
  </si>
  <si>
    <t>华为nova6se</t>
  </si>
  <si>
    <t>G华为nova6se</t>
  </si>
  <si>
    <t>华为nova7</t>
  </si>
  <si>
    <t>G华为nova7</t>
  </si>
  <si>
    <t>华为nova7SE</t>
  </si>
  <si>
    <t>华为nova8</t>
  </si>
  <si>
    <t>华为nova9</t>
  </si>
  <si>
    <t>华为nova9PRO</t>
  </si>
  <si>
    <t>华为P20</t>
  </si>
  <si>
    <t>华为P20PRO</t>
  </si>
  <si>
    <t>华为P30</t>
  </si>
  <si>
    <t>G华为P30</t>
  </si>
  <si>
    <t>华为P30PRO</t>
  </si>
  <si>
    <t>G华为P30PRO</t>
  </si>
  <si>
    <t>华为P40</t>
  </si>
  <si>
    <t>G华为P40</t>
  </si>
  <si>
    <t>华为P40PRO</t>
  </si>
  <si>
    <t>G华为P40PRO</t>
  </si>
  <si>
    <t>华为P50</t>
  </si>
  <si>
    <t>G华为P50</t>
  </si>
  <si>
    <t>华为P60</t>
  </si>
  <si>
    <t>华为畅享10S</t>
  </si>
  <si>
    <t>华为畅享20SE</t>
  </si>
  <si>
    <t>华为畅享8E</t>
  </si>
  <si>
    <t>华为荣耀10</t>
  </si>
  <si>
    <t>华为荣耀20</t>
  </si>
  <si>
    <t>华为荣耀30</t>
  </si>
  <si>
    <t>华为荣耀30PRO</t>
  </si>
  <si>
    <t>华为荣耀30S</t>
  </si>
  <si>
    <t>华为荣耀50PRO</t>
  </si>
  <si>
    <t>华为荣耀60pro</t>
  </si>
  <si>
    <t>华为荣耀8</t>
  </si>
  <si>
    <t>华为荣耀9</t>
  </si>
  <si>
    <t>华为荣耀9X</t>
  </si>
  <si>
    <t>华为荣耀piay3</t>
  </si>
  <si>
    <t>华为荣耀play5tpro</t>
  </si>
  <si>
    <t>华为荣耀V10</t>
  </si>
  <si>
    <t>华为荣耀V20</t>
  </si>
  <si>
    <t>华为荣耀V30</t>
  </si>
  <si>
    <t>华为荣耀X10</t>
  </si>
  <si>
    <t>华为荣耀X30</t>
  </si>
  <si>
    <t>华为荣耀X9</t>
  </si>
  <si>
    <t>苹果11</t>
  </si>
  <si>
    <t>64G</t>
  </si>
  <si>
    <t>G苹果11</t>
  </si>
  <si>
    <t>512G</t>
  </si>
  <si>
    <t>苹果11pro</t>
  </si>
  <si>
    <t>苹果11promax</t>
  </si>
  <si>
    <t>G苹果11promax</t>
  </si>
  <si>
    <t>苹果11有锁</t>
  </si>
  <si>
    <t>苹果12</t>
  </si>
  <si>
    <t>G苹果12</t>
  </si>
  <si>
    <t>苹果12mini</t>
  </si>
  <si>
    <t>有锁</t>
  </si>
  <si>
    <t>苹果12PRO</t>
  </si>
  <si>
    <t>苹果12promax</t>
  </si>
  <si>
    <t>苹果12配置</t>
  </si>
  <si>
    <t>苹果12有锁</t>
  </si>
  <si>
    <t>G苹果12有锁</t>
  </si>
  <si>
    <t>苹果13</t>
  </si>
  <si>
    <t>G苹果13</t>
  </si>
  <si>
    <t>苹果13PRO</t>
  </si>
  <si>
    <t>G苹果13PRO</t>
  </si>
  <si>
    <t>苹果13PROMax</t>
  </si>
  <si>
    <t>苹果13配置</t>
  </si>
  <si>
    <t>苹果14</t>
  </si>
  <si>
    <t>苹果14plus</t>
  </si>
  <si>
    <t>苹果14PRO</t>
  </si>
  <si>
    <t>苹果14PROMax</t>
  </si>
  <si>
    <t>苹果15</t>
  </si>
  <si>
    <t>苹果15PRO</t>
  </si>
  <si>
    <t>苹果15PROmax</t>
  </si>
  <si>
    <t>苹果16</t>
  </si>
  <si>
    <t>苹果16PRO</t>
  </si>
  <si>
    <t>苹果16PROmax</t>
  </si>
  <si>
    <t>苹果17</t>
  </si>
  <si>
    <t>苹果17PRO</t>
  </si>
  <si>
    <t>苹果17PROMAX</t>
  </si>
  <si>
    <t>苹果6</t>
  </si>
  <si>
    <t>苹果6P</t>
  </si>
  <si>
    <t>苹果6P配置</t>
  </si>
  <si>
    <t>苹果6P有锁</t>
  </si>
  <si>
    <t>苹果6S</t>
  </si>
  <si>
    <t>苹果6SP</t>
  </si>
  <si>
    <t>苹果6SP配置</t>
  </si>
  <si>
    <t>苹果6SP有锁</t>
  </si>
  <si>
    <t>苹果6S配置</t>
  </si>
  <si>
    <t>苹果6s信号机</t>
  </si>
  <si>
    <t>苹果6S有锁</t>
  </si>
  <si>
    <t>苹果7</t>
  </si>
  <si>
    <t>苹果7P</t>
  </si>
  <si>
    <t>苹果7P信号机</t>
  </si>
  <si>
    <t>苹果7P有锁</t>
  </si>
  <si>
    <t>苹果7配置</t>
  </si>
  <si>
    <t>苹果7信号机</t>
  </si>
  <si>
    <t>苹果7有锁</t>
  </si>
  <si>
    <t>苹果8</t>
  </si>
  <si>
    <t>苹果8P</t>
  </si>
  <si>
    <t>苹果8P配置</t>
  </si>
  <si>
    <t>苹果8P有锁</t>
  </si>
  <si>
    <t>苹果8零项目</t>
  </si>
  <si>
    <t>苹果8配置</t>
  </si>
  <si>
    <t>苹果8配置有锁</t>
  </si>
  <si>
    <t>苹果8有锁</t>
  </si>
  <si>
    <t>苹果SE2</t>
  </si>
  <si>
    <t>0项目</t>
  </si>
  <si>
    <t>IM</t>
  </si>
  <si>
    <t>可做IM</t>
  </si>
  <si>
    <t>可做NFC</t>
  </si>
  <si>
    <t>苹果SE2非零</t>
  </si>
  <si>
    <t>苹果SE2零项目</t>
  </si>
  <si>
    <t>苹果SE2配置</t>
  </si>
  <si>
    <t>苹果SE2配置有锁</t>
  </si>
  <si>
    <t>苹果SE2有锁</t>
  </si>
  <si>
    <t>苹果SE3</t>
  </si>
  <si>
    <t>苹果SE3零项目</t>
  </si>
  <si>
    <t>苹果SE3配置</t>
  </si>
  <si>
    <t>苹果SE3有锁</t>
  </si>
  <si>
    <t>苹果X</t>
  </si>
  <si>
    <t>G苹果X</t>
  </si>
  <si>
    <t>苹果XR</t>
  </si>
  <si>
    <t>G苹果XR</t>
  </si>
  <si>
    <t>苹果XR配置</t>
  </si>
  <si>
    <t>苹果XR有锁</t>
  </si>
  <si>
    <t>G苹果XR有锁</t>
  </si>
  <si>
    <t>苹果XS</t>
  </si>
  <si>
    <t>G苹果XS</t>
  </si>
  <si>
    <t>苹果XSMAX</t>
  </si>
  <si>
    <t>苹果xsmax有锁</t>
  </si>
  <si>
    <t>苹果xs有锁</t>
  </si>
  <si>
    <t>苹果x有锁</t>
  </si>
  <si>
    <t>三星</t>
  </si>
  <si>
    <t>三星J3PRO</t>
  </si>
  <si>
    <t>三星note10</t>
  </si>
  <si>
    <t>三星note9</t>
  </si>
  <si>
    <t>三星S10</t>
  </si>
  <si>
    <t>三星S20</t>
  </si>
  <si>
    <t>三星s21</t>
  </si>
  <si>
    <t>三星S22U</t>
  </si>
  <si>
    <t>三星S23U</t>
  </si>
  <si>
    <t>三星S23U有锁</t>
  </si>
  <si>
    <t>三星S24U</t>
  </si>
  <si>
    <t>三星S24U有锁</t>
  </si>
  <si>
    <t>三星S8</t>
  </si>
  <si>
    <t>三星S9</t>
  </si>
  <si>
    <t>小米</t>
  </si>
  <si>
    <t>小米10</t>
  </si>
  <si>
    <t>小米10PRO</t>
  </si>
  <si>
    <t>小米10S</t>
  </si>
  <si>
    <t>小米10解BL</t>
  </si>
  <si>
    <t>小米10青春</t>
  </si>
  <si>
    <t>小米11</t>
  </si>
  <si>
    <t>小米11PRO</t>
  </si>
  <si>
    <t>小米11U</t>
  </si>
  <si>
    <t>小米11解BL</t>
  </si>
  <si>
    <t>小米12</t>
  </si>
  <si>
    <t>小米12PRO</t>
  </si>
  <si>
    <t>小米12解BL</t>
  </si>
  <si>
    <t>小米13</t>
  </si>
  <si>
    <t>小米13U</t>
  </si>
  <si>
    <t>小米14</t>
  </si>
  <si>
    <t>小米14PRO</t>
  </si>
  <si>
    <t>小米14U</t>
  </si>
  <si>
    <t>小米15</t>
  </si>
  <si>
    <t>小米15PRO</t>
  </si>
  <si>
    <t>小米5P</t>
  </si>
  <si>
    <t>小米6</t>
  </si>
  <si>
    <t>小米6X</t>
  </si>
  <si>
    <t>小米6解BL</t>
  </si>
  <si>
    <t>小米8</t>
  </si>
  <si>
    <t>小米8SE</t>
  </si>
  <si>
    <t>小米8解BL</t>
  </si>
  <si>
    <t>小米9</t>
  </si>
  <si>
    <t>小米9SE</t>
  </si>
  <si>
    <t>小米9解BL</t>
  </si>
  <si>
    <t>小米CC9E</t>
  </si>
  <si>
    <t>小米civi3</t>
  </si>
  <si>
    <t>一加</t>
  </si>
  <si>
    <t>一加8</t>
  </si>
  <si>
    <t>一加8PRO</t>
  </si>
  <si>
    <t>一加8T</t>
  </si>
  <si>
    <t>真我</t>
  </si>
  <si>
    <t>真我Realme</t>
  </si>
  <si>
    <t>真我V11S</t>
  </si>
  <si>
    <t>真我V3</t>
  </si>
  <si>
    <t>剃须刀</t>
  </si>
  <si>
    <t>松下</t>
  </si>
  <si>
    <t>松下剃须刀LV54</t>
  </si>
  <si>
    <t>虚拟产品</t>
  </si>
  <si>
    <t>无</t>
  </si>
  <si>
    <t>补收差价</t>
  </si>
  <si>
    <t>差价+税点</t>
  </si>
  <si>
    <t>部分转租赁2</t>
  </si>
  <si>
    <t>全部转租赁2</t>
  </si>
  <si>
    <t>退货款</t>
  </si>
  <si>
    <t>快递费</t>
  </si>
  <si>
    <t>平台租金</t>
  </si>
  <si>
    <t>平台新订单，线下收款</t>
  </si>
  <si>
    <t>维修费</t>
  </si>
  <si>
    <t>续期租金</t>
  </si>
  <si>
    <t>平台订单续期，线下收款</t>
  </si>
  <si>
    <t>押金</t>
  </si>
  <si>
    <t>收到押金</t>
  </si>
  <si>
    <t>日期</t>
  </si>
  <si>
    <t>订单来源</t>
  </si>
  <si>
    <t>订单属性</t>
  </si>
  <si>
    <t>人员</t>
  </si>
  <si>
    <t>网店订单号</t>
  </si>
  <si>
    <t>客户名称</t>
  </si>
  <si>
    <t>数量</t>
  </si>
  <si>
    <t>单价</t>
  </si>
  <si>
    <t>金额</t>
  </si>
  <si>
    <t>收款账户</t>
  </si>
  <si>
    <t>物流单号</t>
  </si>
  <si>
    <t>收/发货人</t>
  </si>
  <si>
    <t>客服备注</t>
  </si>
  <si>
    <t>转租赁2
货品名称</t>
  </si>
  <si>
    <t>转租赁2
规格</t>
  </si>
  <si>
    <t>已交租期</t>
  </si>
  <si>
    <t>已交租金</t>
  </si>
  <si>
    <t>新增</t>
  </si>
  <si>
    <t>租赁1</t>
  </si>
  <si>
    <t>ME20260601095925060029</t>
  </si>
  <si>
    <t>张影</t>
  </si>
  <si>
    <t>SF1555013558828</t>
  </si>
  <si>
    <t>ME20260530121755122204</t>
  </si>
  <si>
    <t>屈孝龙</t>
  </si>
  <si>
    <t>SF1555013558855</t>
  </si>
  <si>
    <t>发回单号SF0211562923799</t>
  </si>
  <si>
    <t>ME20251128153744642226</t>
  </si>
  <si>
    <t>佟立衣</t>
  </si>
  <si>
    <t>YY微信</t>
  </si>
  <si>
    <t>ME20260507154804059202</t>
  </si>
  <si>
    <t>胡瑜</t>
  </si>
  <si>
    <t>YY支付宝</t>
  </si>
  <si>
    <t>ME20260308155704546442</t>
  </si>
  <si>
    <t>张文</t>
  </si>
  <si>
    <t>ME20260226150759428196，ME20260226150702786060</t>
  </si>
  <si>
    <t xml:space="preserve">于加媛 </t>
  </si>
  <si>
    <t>ME20260227200618443247</t>
  </si>
  <si>
    <t>彭屿珊</t>
  </si>
  <si>
    <t>ME20260326161940292813</t>
  </si>
  <si>
    <t>叶慧鸿</t>
  </si>
  <si>
    <t>ME20260209143504886489</t>
  </si>
  <si>
    <t>杨江朝</t>
  </si>
  <si>
    <t>ME20260228145733173649</t>
  </si>
  <si>
    <t>巢文成</t>
  </si>
  <si>
    <t>租赁2</t>
  </si>
  <si>
    <t>ME20260424190540868024</t>
  </si>
  <si>
    <t>冯淑辉</t>
  </si>
  <si>
    <t>ME20260601162843205367</t>
  </si>
  <si>
    <t>冯林浩</t>
  </si>
  <si>
    <t>未发货</t>
  </si>
  <si>
    <t>ME20260601210045848198</t>
  </si>
  <si>
    <t>贾亮亮</t>
  </si>
  <si>
    <t>ME20260327121542586258/ME20260327121542586258</t>
  </si>
  <si>
    <t>李婷婷</t>
  </si>
  <si>
    <t>XX微信</t>
  </si>
  <si>
    <t>项目</t>
  </si>
  <si>
    <t>内容</t>
  </si>
  <si>
    <t>新增/服务</t>
  </si>
  <si>
    <t>设置了有效性，可以直接选</t>
  </si>
  <si>
    <t>出库属性</t>
  </si>
  <si>
    <t>租赁1/租赁2</t>
  </si>
  <si>
    <t>肯定都有渠道的，尤其是租后服务，是原订单的渠道</t>
  </si>
  <si>
    <t>渠道类型</t>
  </si>
  <si>
    <t>公式，不要填，</t>
  </si>
  <si>
    <t>自动生成</t>
  </si>
  <si>
    <t>渠道类型是平台，就要填，</t>
  </si>
  <si>
    <t>客户名</t>
  </si>
  <si>
    <t>要填，这是基本信息</t>
  </si>
  <si>
    <t>产品信息</t>
  </si>
  <si>
    <t>删除货品编号，填货品名称+规格，一行只能填一种产品+1种规格</t>
  </si>
  <si>
    <t>数量/单价</t>
  </si>
  <si>
    <t>必填项，没有金额就填0</t>
  </si>
  <si>
    <t>收货人</t>
  </si>
  <si>
    <t>物流单号要填，租后跟进，找仓库告知物流单号</t>
  </si>
  <si>
    <t>需要发货的，发货后填“已发货”，不需要发货的，填“不用发货”、退货的，填“已退回”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</si>
</sst>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;[Red]\-0\ "/>
  </numFmts>
  <fonts count="32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name val="等线 (正文)"/>
      <charset val="134"/>
    </font>
    <font>
      <sz val="10"/>
      <name val="等线 (正文)"/>
      <charset val="134"/>
    </font>
    <font>
      <sz val="11"/>
      <name val="等线 (正文)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0"/>
      <name val="等线"/>
      <charset val="134"/>
      <scheme val="minor"/>
    </font>
    <font>
      <sz val="10"/>
      <name val="-apple-system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Border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 shrinkToFit="1"/>
    </xf>
    <xf numFmtId="0" fontId="0" fillId="2" borderId="0" xfId="0" applyFill="1" applyBorder="1" applyAlignment="1">
      <alignment horizontal="left" vertical="center"/>
    </xf>
    <xf numFmtId="49" fontId="0" fillId="2" borderId="0" xfId="0" applyNumberFormat="1" applyFill="1" applyBorder="1" applyAlignment="1">
      <alignment vertical="center"/>
    </xf>
    <xf numFmtId="49" fontId="0" fillId="0" borderId="0" xfId="0" applyNumberFormat="1" applyBorder="1">
      <alignment vertical="center"/>
    </xf>
    <xf numFmtId="0" fontId="0" fillId="0" borderId="0" xfId="0" applyBorder="1" applyAlignment="1">
      <alignment vertical="center" shrinkToFit="1"/>
    </xf>
    <xf numFmtId="176" fontId="5" fillId="2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6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shrinkToFit="1"/>
    </xf>
    <xf numFmtId="0" fontId="7" fillId="0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177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vertical="center" shrinkToFi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shrinkToFit="1"/>
    </xf>
    <xf numFmtId="49" fontId="7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NumberFormat="1" applyFill="1" applyBorder="1" applyAlignment="1">
      <alignment vertical="center" shrinkToFit="1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3" xfId="0" applyBorder="1">
      <alignment vertical="center"/>
    </xf>
    <xf numFmtId="0" fontId="7" fillId="2" borderId="3" xfId="0" applyNumberFormat="1" applyFont="1" applyFill="1" applyBorder="1" applyAlignment="1">
      <alignment horizontal="left" vertical="center"/>
    </xf>
    <xf numFmtId="49" fontId="0" fillId="0" borderId="3" xfId="0" applyNumberFormat="1" applyBorder="1">
      <alignment vertical="center"/>
    </xf>
    <xf numFmtId="0" fontId="0" fillId="0" borderId="3" xfId="0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2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7" fillId="2" borderId="1" xfId="0" applyFont="1" applyFill="1" applyBorder="1">
      <alignment vertical="center"/>
    </xf>
    <xf numFmtId="0" fontId="7" fillId="0" borderId="1" xfId="0" applyFont="1" applyFill="1" applyBorder="1" applyAlignment="1">
      <alignment vertical="center"/>
    </xf>
    <xf numFmtId="0" fontId="10" fillId="5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>
      <alignment horizontal="left" vertical="center"/>
    </xf>
    <xf numFmtId="0" fontId="7" fillId="0" borderId="5" xfId="0" applyFont="1" applyFill="1" applyBorder="1" applyAlignment="1">
      <alignment vertical="center"/>
    </xf>
    <xf numFmtId="0" fontId="7" fillId="0" borderId="0" xfId="0" applyFont="1">
      <alignment vertical="center"/>
    </xf>
    <xf numFmtId="0" fontId="7" fillId="0" borderId="4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2" xfId="0" applyNumberFormat="1" applyFont="1" applyFill="1" applyBorder="1" applyAlignment="1">
      <alignment horizontal="left" vertical="center"/>
    </xf>
    <xf numFmtId="0" fontId="10" fillId="0" borderId="3" xfId="0" applyNumberFormat="1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left" vertical="center"/>
    </xf>
    <xf numFmtId="49" fontId="7" fillId="0" borderId="0" xfId="0" applyNumberFormat="1" applyFont="1">
      <alignment vertical="center"/>
    </xf>
    <xf numFmtId="0" fontId="7" fillId="0" borderId="1" xfId="0" applyNumberFormat="1" applyFont="1" applyFill="1" applyBorder="1" applyAlignment="1">
      <alignment vertical="center"/>
    </xf>
    <xf numFmtId="0" fontId="7" fillId="2" borderId="0" xfId="0" applyFont="1" applyFill="1">
      <alignment vertical="center"/>
    </xf>
    <xf numFmtId="0" fontId="7" fillId="0" borderId="1" xfId="0" applyFont="1" applyFill="1" applyBorder="1" applyAlignment="1" quotePrefix="1">
      <alignment vertical="center"/>
    </xf>
    <xf numFmtId="0" fontId="7" fillId="0" borderId="8" xfId="0" applyFont="1" applyFill="1" applyBorder="1" applyAlignment="1" quotePrefix="1">
      <alignment vertical="center"/>
    </xf>
    <xf numFmtId="0" fontId="7" fillId="0" borderId="2" xfId="0" applyFont="1" applyBorder="1" applyAlignment="1" quotePrefix="1">
      <alignment horizontal="left" vertical="center"/>
    </xf>
    <xf numFmtId="0" fontId="7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产品资料"/>
  <dimension ref="A1:O498"/>
  <sheetViews>
    <sheetView tabSelected="1" workbookViewId="0">
      <pane ySplit="4" topLeftCell="A19" activePane="bottomLeft" state="frozen"/>
      <selection/>
      <selection pane="bottomLeft" activeCell="P23" sqref="P23"/>
    </sheetView>
  </sheetViews>
  <sheetFormatPr defaultColWidth="14" defaultRowHeight="18" customHeight="1"/>
  <cols>
    <col min="1" max="1" width="17.6261682242991" style="63" customWidth="1"/>
    <col min="2" max="3" width="9.89719626168224" style="64" customWidth="1"/>
    <col min="4" max="4" width="16.8785046728972" style="64" customWidth="1"/>
    <col min="5" max="5" width="13.7102803738318" style="64" customWidth="1"/>
    <col min="6" max="6" width="26.1028037383178" style="64" customWidth="1"/>
    <col min="7" max="7" width="9.2803738317757" style="64" customWidth="1"/>
    <col min="8" max="8" width="14" style="64"/>
    <col min="9" max="9" width="5.79439252336449" style="65" customWidth="1"/>
    <col min="10" max="11" width="10.1588785046729" style="65" customWidth="1"/>
    <col min="12" max="12" width="13.4953271028037" style="65" customWidth="1"/>
    <col min="13" max="13" width="8.09345794392523" style="65" customWidth="1"/>
    <col min="14" max="14" width="10.1588785046729" style="65" customWidth="1"/>
    <col min="15" max="15" width="15.7102803738318" style="64" customWidth="1"/>
    <col min="16" max="34" width="14" style="64"/>
  </cols>
  <sheetData>
    <row r="1" customHeight="1" spans="1:15">
      <c r="A1" s="66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8" t="s">
        <v>6</v>
      </c>
      <c r="I1" s="69" t="s">
        <v>7</v>
      </c>
      <c r="J1" s="69" t="s">
        <v>8</v>
      </c>
      <c r="K1" s="69" t="s">
        <v>9</v>
      </c>
      <c r="L1" s="70" t="s">
        <v>10</v>
      </c>
      <c r="M1" s="71" t="s">
        <v>11</v>
      </c>
      <c r="N1" s="69" t="s">
        <v>12</v>
      </c>
      <c r="O1" s="72"/>
    </row>
    <row r="2" customHeight="1" spans="1:15">
      <c r="A2" s="73" t="str">
        <f>D2&amp;E2</f>
        <v>联想电脑默认</v>
      </c>
      <c r="B2" s="74" t="s">
        <v>13</v>
      </c>
      <c r="C2" s="74" t="s">
        <v>14</v>
      </c>
      <c r="D2" s="74" t="s">
        <v>15</v>
      </c>
      <c r="E2" s="74" t="s">
        <v>16</v>
      </c>
      <c r="F2" s="74"/>
      <c r="G2" s="75" t="s">
        <v>17</v>
      </c>
      <c r="I2" s="76">
        <v>1</v>
      </c>
      <c r="J2" s="77" t="s">
        <v>18</v>
      </c>
      <c r="K2" s="78" t="s">
        <v>19</v>
      </c>
      <c r="L2" s="65" t="s">
        <v>20</v>
      </c>
      <c r="M2" s="79" t="s">
        <v>21</v>
      </c>
      <c r="N2" s="76" t="s">
        <v>22</v>
      </c>
      <c r="O2" s="80"/>
    </row>
    <row r="3" customHeight="1" spans="1:15">
      <c r="A3" s="73" t="str">
        <f t="shared" ref="A3:A66" si="0">D3&amp;E3</f>
        <v>HP电脑默认</v>
      </c>
      <c r="B3" s="74" t="s">
        <v>23</v>
      </c>
      <c r="C3" s="74" t="s">
        <v>24</v>
      </c>
      <c r="D3" s="74" t="s">
        <v>25</v>
      </c>
      <c r="E3" s="74" t="s">
        <v>16</v>
      </c>
      <c r="F3" s="74"/>
      <c r="G3" s="75" t="s">
        <v>17</v>
      </c>
      <c r="I3" s="76">
        <v>2</v>
      </c>
      <c r="J3" s="77" t="s">
        <v>26</v>
      </c>
      <c r="K3" s="78" t="s">
        <v>19</v>
      </c>
      <c r="L3" s="81" t="s">
        <v>27</v>
      </c>
      <c r="M3" s="79" t="s">
        <v>28</v>
      </c>
      <c r="N3" s="76" t="s">
        <v>29</v>
      </c>
      <c r="O3" s="80"/>
    </row>
    <row r="4" customHeight="1" spans="1:15">
      <c r="A4" s="73" t="str">
        <f t="shared" si="0"/>
        <v>IPADAIR2默认</v>
      </c>
      <c r="B4" s="74" t="s">
        <v>23</v>
      </c>
      <c r="C4" s="74" t="s">
        <v>30</v>
      </c>
      <c r="D4" s="74" t="s">
        <v>31</v>
      </c>
      <c r="E4" s="74" t="s">
        <v>16</v>
      </c>
      <c r="F4" s="74"/>
      <c r="G4" s="75">
        <v>200</v>
      </c>
      <c r="I4" s="76">
        <v>3</v>
      </c>
      <c r="J4" s="77" t="s">
        <v>32</v>
      </c>
      <c r="K4" s="78" t="s">
        <v>19</v>
      </c>
      <c r="L4" s="81" t="s">
        <v>33</v>
      </c>
      <c r="M4" s="79" t="s">
        <v>34</v>
      </c>
      <c r="N4" s="76" t="s">
        <v>35</v>
      </c>
      <c r="O4" s="80"/>
    </row>
    <row r="5" customHeight="1" spans="1:15">
      <c r="A5" s="73" t="str">
        <f t="shared" si="0"/>
        <v>ipadair7默认</v>
      </c>
      <c r="B5" s="74" t="s">
        <v>23</v>
      </c>
      <c r="C5" s="74" t="s">
        <v>30</v>
      </c>
      <c r="D5" s="74" t="s">
        <v>36</v>
      </c>
      <c r="E5" s="74" t="s">
        <v>16</v>
      </c>
      <c r="F5" s="74"/>
      <c r="G5" s="75" t="s">
        <v>17</v>
      </c>
      <c r="I5" s="82">
        <v>4</v>
      </c>
      <c r="J5" s="82" t="s">
        <v>37</v>
      </c>
      <c r="K5" s="78" t="s">
        <v>19</v>
      </c>
      <c r="L5" s="81" t="s">
        <v>38</v>
      </c>
      <c r="M5" s="83" t="s">
        <v>39</v>
      </c>
      <c r="N5" s="76" t="s">
        <v>40</v>
      </c>
      <c r="O5" s="80"/>
    </row>
    <row r="6" customHeight="1" spans="1:15">
      <c r="A6" s="73" t="str">
        <f t="shared" si="0"/>
        <v>IPADMINI4G</v>
      </c>
      <c r="B6" s="74" t="s">
        <v>23</v>
      </c>
      <c r="C6" s="74" t="s">
        <v>30</v>
      </c>
      <c r="D6" s="74" t="s">
        <v>41</v>
      </c>
      <c r="E6" s="74" t="s">
        <v>42</v>
      </c>
      <c r="F6" s="74"/>
      <c r="G6" s="75">
        <v>200</v>
      </c>
      <c r="I6" s="84">
        <v>5</v>
      </c>
      <c r="J6" s="84" t="s">
        <v>43</v>
      </c>
      <c r="K6" s="78" t="s">
        <v>19</v>
      </c>
      <c r="L6" s="85" t="s">
        <v>44</v>
      </c>
      <c r="M6" s="86"/>
      <c r="N6" s="101" t="s">
        <v>45</v>
      </c>
      <c r="O6" s="80"/>
    </row>
    <row r="7" customHeight="1" spans="1:15">
      <c r="A7" s="73" t="str">
        <f t="shared" si="0"/>
        <v>IPADMINI5G</v>
      </c>
      <c r="B7" s="74" t="s">
        <v>23</v>
      </c>
      <c r="C7" s="74" t="s">
        <v>30</v>
      </c>
      <c r="D7" s="74" t="s">
        <v>41</v>
      </c>
      <c r="E7" s="74" t="s">
        <v>46</v>
      </c>
      <c r="F7" s="74"/>
      <c r="G7" s="75">
        <v>400</v>
      </c>
      <c r="I7" s="84">
        <v>6</v>
      </c>
      <c r="J7" s="84" t="s">
        <v>47</v>
      </c>
      <c r="K7" s="78" t="s">
        <v>19</v>
      </c>
      <c r="L7" s="87" t="s">
        <v>48</v>
      </c>
      <c r="M7" s="86"/>
      <c r="N7" s="76"/>
      <c r="O7" s="80"/>
    </row>
    <row r="8" customHeight="1" spans="1:15">
      <c r="A8" s="73" t="str">
        <f t="shared" si="0"/>
        <v>IPADMINI默认</v>
      </c>
      <c r="B8" s="74" t="s">
        <v>23</v>
      </c>
      <c r="C8" s="74" t="s">
        <v>30</v>
      </c>
      <c r="D8" s="74" t="s">
        <v>41</v>
      </c>
      <c r="E8" s="74" t="s">
        <v>16</v>
      </c>
      <c r="F8" s="74"/>
      <c r="G8" s="75">
        <v>200</v>
      </c>
      <c r="I8" s="84">
        <v>7</v>
      </c>
      <c r="J8" s="84" t="s">
        <v>49</v>
      </c>
      <c r="K8" s="78" t="s">
        <v>19</v>
      </c>
      <c r="L8" s="87" t="s">
        <v>50</v>
      </c>
      <c r="M8" s="102" t="s">
        <v>45</v>
      </c>
      <c r="N8" s="76"/>
      <c r="O8" s="80"/>
    </row>
    <row r="9" customHeight="1" spans="1:15">
      <c r="A9" s="73" t="str">
        <f t="shared" si="0"/>
        <v>ipadmini4默认</v>
      </c>
      <c r="B9" s="74" t="s">
        <v>23</v>
      </c>
      <c r="C9" s="74" t="s">
        <v>30</v>
      </c>
      <c r="D9" s="74" t="s">
        <v>51</v>
      </c>
      <c r="E9" s="74" t="s">
        <v>16</v>
      </c>
      <c r="F9" s="74"/>
      <c r="G9" s="75">
        <v>200</v>
      </c>
      <c r="I9" s="84">
        <v>8</v>
      </c>
      <c r="J9" s="89"/>
      <c r="K9" s="78" t="s">
        <v>19</v>
      </c>
      <c r="L9" s="87" t="s">
        <v>52</v>
      </c>
      <c r="M9" s="102" t="s">
        <v>45</v>
      </c>
      <c r="N9" s="76"/>
      <c r="O9" s="80"/>
    </row>
    <row r="10" customHeight="1" spans="1:15">
      <c r="A10" s="73" t="str">
        <f t="shared" si="0"/>
        <v>ipadmini5默认</v>
      </c>
      <c r="B10" s="74" t="s">
        <v>23</v>
      </c>
      <c r="C10" s="74" t="s">
        <v>30</v>
      </c>
      <c r="D10" s="74" t="s">
        <v>53</v>
      </c>
      <c r="E10" s="74" t="s">
        <v>16</v>
      </c>
      <c r="F10" s="74"/>
      <c r="G10" s="75">
        <v>400</v>
      </c>
      <c r="I10" s="84">
        <v>9</v>
      </c>
      <c r="J10" s="89"/>
      <c r="K10" s="78" t="s">
        <v>19</v>
      </c>
      <c r="L10" s="87" t="s">
        <v>54</v>
      </c>
      <c r="M10" s="102" t="s">
        <v>45</v>
      </c>
      <c r="N10" s="76"/>
      <c r="O10" s="80"/>
    </row>
    <row r="11" customHeight="1" spans="1:15">
      <c r="A11" s="73" t="str">
        <f t="shared" si="0"/>
        <v>ipadpro11默认</v>
      </c>
      <c r="B11" s="74" t="s">
        <v>23</v>
      </c>
      <c r="C11" s="74" t="s">
        <v>30</v>
      </c>
      <c r="D11" s="74" t="s">
        <v>55</v>
      </c>
      <c r="E11" s="74" t="s">
        <v>16</v>
      </c>
      <c r="F11" s="74"/>
      <c r="G11" s="75" t="s">
        <v>17</v>
      </c>
      <c r="I11" s="84">
        <v>10</v>
      </c>
      <c r="J11" s="84"/>
      <c r="K11" s="78" t="s">
        <v>19</v>
      </c>
      <c r="L11" s="87" t="s">
        <v>56</v>
      </c>
      <c r="M11" s="102" t="s">
        <v>45</v>
      </c>
      <c r="N11" s="76"/>
      <c r="O11" s="80"/>
    </row>
    <row r="12" customHeight="1" spans="1:15">
      <c r="A12" s="73" t="str">
        <f t="shared" si="0"/>
        <v>ipadpro12默认</v>
      </c>
      <c r="B12" s="74" t="s">
        <v>23</v>
      </c>
      <c r="C12" s="74" t="s">
        <v>30</v>
      </c>
      <c r="D12" s="74" t="s">
        <v>57</v>
      </c>
      <c r="E12" s="74" t="s">
        <v>16</v>
      </c>
      <c r="F12" s="74"/>
      <c r="G12" s="75" t="s">
        <v>17</v>
      </c>
      <c r="I12" s="84">
        <v>11</v>
      </c>
      <c r="J12" s="84"/>
      <c r="K12" s="78" t="s">
        <v>19</v>
      </c>
      <c r="L12" s="87" t="s">
        <v>58</v>
      </c>
      <c r="M12" s="102" t="s">
        <v>45</v>
      </c>
      <c r="N12" s="76"/>
      <c r="O12" s="80"/>
    </row>
    <row r="13" customHeight="1" spans="1:15">
      <c r="A13" s="73" t="str">
        <f t="shared" si="0"/>
        <v>ipadpro9默认</v>
      </c>
      <c r="B13" s="74" t="s">
        <v>23</v>
      </c>
      <c r="C13" s="74" t="s">
        <v>30</v>
      </c>
      <c r="D13" s="74" t="s">
        <v>59</v>
      </c>
      <c r="E13" s="74" t="s">
        <v>16</v>
      </c>
      <c r="F13" s="74"/>
      <c r="G13" s="75" t="s">
        <v>17</v>
      </c>
      <c r="I13" s="84">
        <v>12</v>
      </c>
      <c r="J13" s="84"/>
      <c r="K13" s="78" t="s">
        <v>19</v>
      </c>
      <c r="L13" s="87" t="s">
        <v>60</v>
      </c>
      <c r="M13" s="102" t="s">
        <v>45</v>
      </c>
      <c r="N13" s="76"/>
      <c r="O13" s="80"/>
    </row>
    <row r="14" customHeight="1" spans="1:15">
      <c r="A14" s="73" t="str">
        <f t="shared" si="0"/>
        <v>IRAD7默认</v>
      </c>
      <c r="B14" s="74" t="s">
        <v>23</v>
      </c>
      <c r="C14" s="74" t="s">
        <v>30</v>
      </c>
      <c r="D14" s="74" t="s">
        <v>61</v>
      </c>
      <c r="E14" s="74" t="s">
        <v>16</v>
      </c>
      <c r="F14" s="74"/>
      <c r="G14" s="75" t="s">
        <v>17</v>
      </c>
      <c r="I14" s="84">
        <v>13</v>
      </c>
      <c r="J14" s="84"/>
      <c r="K14" s="78" t="s">
        <v>62</v>
      </c>
      <c r="L14" s="65" t="s">
        <v>63</v>
      </c>
      <c r="M14" s="79" t="s">
        <v>21</v>
      </c>
      <c r="N14" s="76"/>
      <c r="O14" s="80"/>
    </row>
    <row r="15" customHeight="1" spans="1:15">
      <c r="A15" s="73" t="str">
        <f t="shared" si="0"/>
        <v>MOTOX40默认</v>
      </c>
      <c r="B15" s="74" t="s">
        <v>23</v>
      </c>
      <c r="C15" s="74" t="s">
        <v>64</v>
      </c>
      <c r="D15" s="74" t="s">
        <v>65</v>
      </c>
      <c r="E15" s="74" t="s">
        <v>16</v>
      </c>
      <c r="F15" s="74"/>
      <c r="G15" s="75" t="s">
        <v>17</v>
      </c>
      <c r="I15" s="84">
        <v>14</v>
      </c>
      <c r="J15" s="84"/>
      <c r="K15" s="78" t="s">
        <v>62</v>
      </c>
      <c r="L15" s="81" t="s">
        <v>66</v>
      </c>
      <c r="M15" s="79" t="s">
        <v>28</v>
      </c>
      <c r="N15" s="76"/>
      <c r="O15" s="80"/>
    </row>
    <row r="16" customHeight="1" spans="1:15">
      <c r="A16" s="73" t="str">
        <f t="shared" si="0"/>
        <v>OPPO A32默认</v>
      </c>
      <c r="B16" s="74" t="s">
        <v>23</v>
      </c>
      <c r="C16" s="74" t="s">
        <v>67</v>
      </c>
      <c r="D16" s="74" t="s">
        <v>68</v>
      </c>
      <c r="E16" s="74" t="s">
        <v>16</v>
      </c>
      <c r="F16" s="74"/>
      <c r="G16" s="75" t="s">
        <v>17</v>
      </c>
      <c r="I16" s="84">
        <v>15</v>
      </c>
      <c r="J16" s="84"/>
      <c r="K16" s="78" t="s">
        <v>62</v>
      </c>
      <c r="L16" s="81" t="s">
        <v>69</v>
      </c>
      <c r="M16" s="79" t="s">
        <v>34</v>
      </c>
      <c r="N16" s="76"/>
      <c r="O16" s="80"/>
    </row>
    <row r="17" customHeight="1" spans="1:15">
      <c r="A17" s="73" t="str">
        <f t="shared" si="0"/>
        <v>OPPO a56默认</v>
      </c>
      <c r="B17" s="74" t="s">
        <v>23</v>
      </c>
      <c r="C17" s="74" t="s">
        <v>67</v>
      </c>
      <c r="D17" s="74" t="s">
        <v>70</v>
      </c>
      <c r="E17" s="74" t="s">
        <v>16</v>
      </c>
      <c r="F17" s="74"/>
      <c r="G17" s="75" t="s">
        <v>17</v>
      </c>
      <c r="I17" s="84">
        <v>16</v>
      </c>
      <c r="J17" s="84"/>
      <c r="K17" s="78" t="s">
        <v>62</v>
      </c>
      <c r="L17" s="81" t="s">
        <v>71</v>
      </c>
      <c r="M17" s="83" t="s">
        <v>39</v>
      </c>
      <c r="N17" s="76"/>
      <c r="O17" s="80"/>
    </row>
    <row r="18" customHeight="1" spans="1:15">
      <c r="A18" s="73" t="str">
        <f t="shared" si="0"/>
        <v>oppo a8默认</v>
      </c>
      <c r="B18" s="74" t="s">
        <v>23</v>
      </c>
      <c r="C18" s="74" t="s">
        <v>67</v>
      </c>
      <c r="D18" s="74" t="s">
        <v>72</v>
      </c>
      <c r="E18" s="74" t="s">
        <v>16</v>
      </c>
      <c r="F18" s="74"/>
      <c r="G18" s="75" t="s">
        <v>17</v>
      </c>
      <c r="I18" s="84">
        <v>17</v>
      </c>
      <c r="J18" s="84"/>
      <c r="K18" s="78" t="s">
        <v>62</v>
      </c>
      <c r="L18" s="85" t="s">
        <v>73</v>
      </c>
      <c r="M18" s="86"/>
      <c r="N18" s="76"/>
      <c r="O18" s="80"/>
    </row>
    <row r="19" customHeight="1" spans="1:15">
      <c r="A19" s="73" t="str">
        <f t="shared" si="0"/>
        <v>OPPO R11P默认</v>
      </c>
      <c r="B19" s="74" t="s">
        <v>23</v>
      </c>
      <c r="C19" s="74" t="s">
        <v>67</v>
      </c>
      <c r="D19" s="74" t="s">
        <v>74</v>
      </c>
      <c r="E19" s="74" t="s">
        <v>16</v>
      </c>
      <c r="F19" s="74"/>
      <c r="G19" s="75">
        <v>170</v>
      </c>
      <c r="I19" s="84">
        <v>18</v>
      </c>
      <c r="J19" s="84"/>
      <c r="K19" s="90" t="s">
        <v>62</v>
      </c>
      <c r="L19" s="87" t="s">
        <v>75</v>
      </c>
      <c r="M19" s="86"/>
      <c r="N19" s="76"/>
      <c r="O19" s="80"/>
    </row>
    <row r="20" customHeight="1" spans="1:15">
      <c r="A20" s="73" t="str">
        <f t="shared" si="0"/>
        <v>OPPO R17PRO默认</v>
      </c>
      <c r="B20" s="74" t="s">
        <v>23</v>
      </c>
      <c r="C20" s="74" t="s">
        <v>67</v>
      </c>
      <c r="D20" s="74" t="s">
        <v>76</v>
      </c>
      <c r="E20" s="74" t="s">
        <v>16</v>
      </c>
      <c r="F20" s="74"/>
      <c r="G20" s="75" t="s">
        <v>17</v>
      </c>
      <c r="I20" s="91">
        <v>19</v>
      </c>
      <c r="J20" s="91"/>
      <c r="K20" s="92"/>
      <c r="L20" s="93"/>
      <c r="M20" s="94"/>
      <c r="N20" s="76"/>
      <c r="O20" s="80"/>
    </row>
    <row r="21" customHeight="1" spans="1:15">
      <c r="A21" s="73" t="str">
        <f t="shared" si="0"/>
        <v>OPPO r9默认</v>
      </c>
      <c r="B21" s="74" t="s">
        <v>23</v>
      </c>
      <c r="C21" s="74" t="s">
        <v>67</v>
      </c>
      <c r="D21" s="74" t="s">
        <v>77</v>
      </c>
      <c r="E21" s="74" t="s">
        <v>16</v>
      </c>
      <c r="F21" s="74"/>
      <c r="G21" s="75">
        <v>100</v>
      </c>
      <c r="I21" s="84">
        <v>20</v>
      </c>
      <c r="J21" s="84"/>
      <c r="K21" s="95"/>
      <c r="L21" s="95"/>
      <c r="M21" s="96"/>
      <c r="N21" s="76"/>
      <c r="O21" s="80"/>
    </row>
    <row r="22" customHeight="1" spans="1:15">
      <c r="A22" s="73" t="str">
        <f t="shared" si="0"/>
        <v>OPPO Reno13 Pro默认</v>
      </c>
      <c r="B22" s="74" t="s">
        <v>23</v>
      </c>
      <c r="C22" s="74" t="s">
        <v>67</v>
      </c>
      <c r="D22" s="74" t="s">
        <v>78</v>
      </c>
      <c r="E22" s="74" t="s">
        <v>16</v>
      </c>
      <c r="F22" s="74"/>
      <c r="G22" s="75" t="s">
        <v>17</v>
      </c>
      <c r="I22" s="84">
        <v>21</v>
      </c>
      <c r="J22" s="93"/>
      <c r="K22" s="95"/>
      <c r="L22" s="95"/>
      <c r="M22" s="97"/>
      <c r="N22" s="78"/>
      <c r="O22" s="80"/>
    </row>
    <row r="23" customHeight="1" spans="1:15">
      <c r="A23" s="73" t="str">
        <f t="shared" si="0"/>
        <v>OPPOA1X默认</v>
      </c>
      <c r="B23" s="74" t="s">
        <v>23</v>
      </c>
      <c r="C23" s="74" t="s">
        <v>67</v>
      </c>
      <c r="D23" s="74" t="s">
        <v>79</v>
      </c>
      <c r="E23" s="74" t="s">
        <v>16</v>
      </c>
      <c r="F23" s="74"/>
      <c r="G23" s="75" t="s">
        <v>17</v>
      </c>
      <c r="I23" s="84">
        <v>22</v>
      </c>
      <c r="J23" s="93"/>
      <c r="K23" s="95"/>
      <c r="L23" s="95"/>
      <c r="M23" s="97"/>
      <c r="N23" s="78"/>
      <c r="O23" s="80"/>
    </row>
    <row r="24" customHeight="1" spans="1:15">
      <c r="A24" s="73" t="str">
        <f t="shared" si="0"/>
        <v>OPPOA5默认</v>
      </c>
      <c r="B24" s="74" t="s">
        <v>23</v>
      </c>
      <c r="C24" s="74" t="s">
        <v>67</v>
      </c>
      <c r="D24" s="74" t="s">
        <v>80</v>
      </c>
      <c r="E24" s="74" t="s">
        <v>16</v>
      </c>
      <c r="F24" s="74"/>
      <c r="G24" s="75" t="s">
        <v>17</v>
      </c>
      <c r="I24" s="84">
        <v>23</v>
      </c>
      <c r="J24" s="93"/>
      <c r="K24" s="95"/>
      <c r="L24" s="95"/>
      <c r="M24" s="97"/>
      <c r="N24" s="78"/>
      <c r="O24" s="80"/>
    </row>
    <row r="25" customHeight="1" spans="1:15">
      <c r="A25" s="73" t="str">
        <f t="shared" si="0"/>
        <v>OPPOA53默认</v>
      </c>
      <c r="B25" s="74" t="s">
        <v>23</v>
      </c>
      <c r="C25" s="74" t="s">
        <v>67</v>
      </c>
      <c r="D25" s="74" t="s">
        <v>81</v>
      </c>
      <c r="E25" s="74" t="s">
        <v>16</v>
      </c>
      <c r="F25" s="74"/>
      <c r="G25" s="75">
        <v>280</v>
      </c>
      <c r="I25" s="84">
        <v>24</v>
      </c>
      <c r="J25" s="93"/>
      <c r="K25" s="95"/>
      <c r="L25" s="95"/>
      <c r="M25" s="97"/>
      <c r="N25" s="78"/>
      <c r="O25" s="80"/>
    </row>
    <row r="26" customHeight="1" spans="1:15">
      <c r="A26" s="73" t="str">
        <f t="shared" si="0"/>
        <v>OPPOA57默认</v>
      </c>
      <c r="B26" s="74" t="s">
        <v>23</v>
      </c>
      <c r="C26" s="74" t="s">
        <v>67</v>
      </c>
      <c r="D26" s="74" t="s">
        <v>82</v>
      </c>
      <c r="E26" s="74" t="s">
        <v>16</v>
      </c>
      <c r="F26" s="74"/>
      <c r="G26" s="75">
        <v>310</v>
      </c>
      <c r="I26" s="84">
        <v>25</v>
      </c>
      <c r="J26" s="93"/>
      <c r="K26" s="93"/>
      <c r="L26" s="93"/>
      <c r="M26" s="97"/>
      <c r="N26" s="78"/>
      <c r="O26" s="80"/>
    </row>
    <row r="27" customHeight="1" spans="1:15">
      <c r="A27" s="73" t="str">
        <f t="shared" si="0"/>
        <v>OPPOA58默认</v>
      </c>
      <c r="B27" s="74" t="s">
        <v>23</v>
      </c>
      <c r="C27" s="74" t="s">
        <v>67</v>
      </c>
      <c r="D27" s="74" t="s">
        <v>83</v>
      </c>
      <c r="E27" s="74" t="s">
        <v>16</v>
      </c>
      <c r="F27" s="74"/>
      <c r="G27" s="75" t="s">
        <v>17</v>
      </c>
      <c r="O27" s="80"/>
    </row>
    <row r="28" customHeight="1" spans="1:15">
      <c r="A28" s="73" t="str">
        <f t="shared" si="0"/>
        <v>OPPOA58x默认</v>
      </c>
      <c r="B28" s="74" t="s">
        <v>23</v>
      </c>
      <c r="C28" s="74" t="s">
        <v>67</v>
      </c>
      <c r="D28" s="74" t="s">
        <v>84</v>
      </c>
      <c r="E28" s="74" t="s">
        <v>16</v>
      </c>
      <c r="F28" s="74"/>
      <c r="G28" s="75" t="s">
        <v>17</v>
      </c>
      <c r="O28" s="80"/>
    </row>
    <row r="29" customHeight="1" spans="1:15">
      <c r="A29" s="73" t="str">
        <f t="shared" si="0"/>
        <v>OPPOA72默认</v>
      </c>
      <c r="B29" s="74" t="s">
        <v>23</v>
      </c>
      <c r="C29" s="74" t="s">
        <v>67</v>
      </c>
      <c r="D29" s="74" t="s">
        <v>85</v>
      </c>
      <c r="E29" s="74" t="s">
        <v>16</v>
      </c>
      <c r="F29" s="74"/>
      <c r="G29" s="75">
        <v>290</v>
      </c>
      <c r="O29" s="80"/>
    </row>
    <row r="30" customHeight="1" spans="1:15">
      <c r="A30" s="73" t="str">
        <f t="shared" si="0"/>
        <v>OPPOA92s默认</v>
      </c>
      <c r="B30" s="74" t="s">
        <v>23</v>
      </c>
      <c r="C30" s="74" t="s">
        <v>67</v>
      </c>
      <c r="D30" s="74" t="s">
        <v>86</v>
      </c>
      <c r="E30" s="74" t="s">
        <v>16</v>
      </c>
      <c r="F30" s="74"/>
      <c r="G30" s="75">
        <v>290</v>
      </c>
      <c r="O30" s="80"/>
    </row>
    <row r="31" customHeight="1" spans="1:15">
      <c r="A31" s="73" t="str">
        <f t="shared" si="0"/>
        <v>OPPOA92S 5G默认</v>
      </c>
      <c r="B31" s="74" t="s">
        <v>23</v>
      </c>
      <c r="C31" s="74" t="s">
        <v>67</v>
      </c>
      <c r="D31" s="74" t="s">
        <v>87</v>
      </c>
      <c r="E31" s="74" t="s">
        <v>16</v>
      </c>
      <c r="F31" s="74"/>
      <c r="G31" s="75">
        <v>290</v>
      </c>
      <c r="O31" s="80"/>
    </row>
    <row r="32" customHeight="1" spans="1:15">
      <c r="A32" s="73" t="str">
        <f t="shared" si="0"/>
        <v>OPPOA96默认</v>
      </c>
      <c r="B32" s="74" t="s">
        <v>23</v>
      </c>
      <c r="C32" s="74" t="s">
        <v>67</v>
      </c>
      <c r="D32" s="74" t="s">
        <v>88</v>
      </c>
      <c r="E32" s="74" t="s">
        <v>16</v>
      </c>
      <c r="F32" s="74"/>
      <c r="G32" s="75" t="s">
        <v>17</v>
      </c>
      <c r="O32" s="80"/>
    </row>
    <row r="33" customHeight="1" spans="1:15">
      <c r="A33" s="73" t="str">
        <f t="shared" si="0"/>
        <v>OPPOA97默认</v>
      </c>
      <c r="B33" s="74" t="s">
        <v>23</v>
      </c>
      <c r="C33" s="74" t="s">
        <v>67</v>
      </c>
      <c r="D33" s="74" t="s">
        <v>89</v>
      </c>
      <c r="E33" s="74" t="s">
        <v>16</v>
      </c>
      <c r="F33" s="74"/>
      <c r="G33" s="75" t="s">
        <v>17</v>
      </c>
      <c r="O33" s="80"/>
    </row>
    <row r="34" customHeight="1" spans="1:15">
      <c r="A34" s="73" t="str">
        <f t="shared" si="0"/>
        <v>OPPOK5默认</v>
      </c>
      <c r="B34" s="74" t="s">
        <v>23</v>
      </c>
      <c r="C34" s="74" t="s">
        <v>67</v>
      </c>
      <c r="D34" s="74" t="s">
        <v>90</v>
      </c>
      <c r="E34" s="74" t="s">
        <v>16</v>
      </c>
      <c r="F34" s="74"/>
      <c r="G34" s="75" t="s">
        <v>17</v>
      </c>
      <c r="O34" s="80"/>
    </row>
    <row r="35" customHeight="1" spans="1:15">
      <c r="A35" s="73" t="str">
        <f t="shared" si="0"/>
        <v>OPPOK9默认</v>
      </c>
      <c r="B35" s="74" t="s">
        <v>23</v>
      </c>
      <c r="C35" s="74" t="s">
        <v>67</v>
      </c>
      <c r="D35" s="74" t="s">
        <v>91</v>
      </c>
      <c r="E35" s="74" t="s">
        <v>16</v>
      </c>
      <c r="F35" s="74"/>
      <c r="G35" s="75" t="s">
        <v>17</v>
      </c>
      <c r="O35" s="80"/>
    </row>
    <row r="36" customHeight="1" spans="1:15">
      <c r="A36" s="73" t="str">
        <f t="shared" si="0"/>
        <v>OPPOR11默认</v>
      </c>
      <c r="B36" s="74" t="s">
        <v>23</v>
      </c>
      <c r="C36" s="74" t="s">
        <v>67</v>
      </c>
      <c r="D36" s="74" t="s">
        <v>92</v>
      </c>
      <c r="E36" s="74" t="s">
        <v>16</v>
      </c>
      <c r="F36" s="74"/>
      <c r="G36" s="75">
        <v>170</v>
      </c>
      <c r="O36" s="80"/>
    </row>
    <row r="37" customHeight="1" spans="1:15">
      <c r="A37" s="73" t="str">
        <f t="shared" si="0"/>
        <v>OPPOR15默认</v>
      </c>
      <c r="B37" s="74" t="s">
        <v>23</v>
      </c>
      <c r="C37" s="74" t="s">
        <v>67</v>
      </c>
      <c r="D37" s="74" t="s">
        <v>93</v>
      </c>
      <c r="E37" s="74" t="s">
        <v>16</v>
      </c>
      <c r="F37" s="74"/>
      <c r="G37" s="75">
        <v>190</v>
      </c>
      <c r="O37" s="80"/>
    </row>
    <row r="38" customHeight="1" spans="1:15">
      <c r="A38" s="73" t="str">
        <f t="shared" si="0"/>
        <v>OPPOR17默认</v>
      </c>
      <c r="B38" s="74" t="s">
        <v>23</v>
      </c>
      <c r="C38" s="74" t="s">
        <v>67</v>
      </c>
      <c r="D38" s="74" t="s">
        <v>94</v>
      </c>
      <c r="E38" s="74" t="s">
        <v>16</v>
      </c>
      <c r="F38" s="74"/>
      <c r="G38" s="75">
        <v>230</v>
      </c>
      <c r="O38" s="80"/>
    </row>
    <row r="39" customHeight="1" spans="1:15">
      <c r="A39" s="73" t="str">
        <f t="shared" si="0"/>
        <v>OPPOReno13默认</v>
      </c>
      <c r="B39" s="74" t="s">
        <v>23</v>
      </c>
      <c r="C39" s="74" t="s">
        <v>67</v>
      </c>
      <c r="D39" s="74" t="s">
        <v>95</v>
      </c>
      <c r="E39" s="74" t="s">
        <v>16</v>
      </c>
      <c r="F39" s="74"/>
      <c r="G39" s="75" t="s">
        <v>17</v>
      </c>
      <c r="O39" s="80"/>
    </row>
    <row r="40" customHeight="1" spans="1:15">
      <c r="A40" s="73" t="str">
        <f t="shared" si="0"/>
        <v>OPPOReno4默认</v>
      </c>
      <c r="B40" s="74" t="s">
        <v>23</v>
      </c>
      <c r="C40" s="74" t="s">
        <v>67</v>
      </c>
      <c r="D40" s="74" t="s">
        <v>96</v>
      </c>
      <c r="E40" s="74" t="s">
        <v>16</v>
      </c>
      <c r="F40" s="74"/>
      <c r="G40" s="75">
        <v>270</v>
      </c>
      <c r="O40" s="80"/>
    </row>
    <row r="41" customHeight="1" spans="1:15">
      <c r="A41" s="73" t="str">
        <f t="shared" si="0"/>
        <v>OPPOReno4PRO默认</v>
      </c>
      <c r="B41" s="74" t="s">
        <v>23</v>
      </c>
      <c r="C41" s="74" t="s">
        <v>67</v>
      </c>
      <c r="D41" s="74" t="s">
        <v>97</v>
      </c>
      <c r="E41" s="74" t="s">
        <v>16</v>
      </c>
      <c r="F41" s="74"/>
      <c r="G41" s="75" t="s">
        <v>17</v>
      </c>
      <c r="O41" s="80"/>
    </row>
    <row r="42" customHeight="1" spans="1:15">
      <c r="A42" s="73" t="str">
        <f t="shared" si="0"/>
        <v>OPPOReno4PRO 5G默认</v>
      </c>
      <c r="B42" s="74" t="s">
        <v>23</v>
      </c>
      <c r="C42" s="74" t="s">
        <v>67</v>
      </c>
      <c r="D42" s="74" t="s">
        <v>98</v>
      </c>
      <c r="E42" s="74" t="s">
        <v>16</v>
      </c>
      <c r="F42" s="74"/>
      <c r="G42" s="75" t="s">
        <v>17</v>
      </c>
      <c r="O42" s="80"/>
    </row>
    <row r="43" customHeight="1" spans="1:15">
      <c r="A43" s="73" t="str">
        <f t="shared" si="0"/>
        <v>OPPOReno5默认</v>
      </c>
      <c r="B43" s="74" t="s">
        <v>23</v>
      </c>
      <c r="C43" s="74" t="s">
        <v>67</v>
      </c>
      <c r="D43" s="74" t="s">
        <v>99</v>
      </c>
      <c r="E43" s="74" t="s">
        <v>16</v>
      </c>
      <c r="F43" s="74"/>
      <c r="G43" s="75">
        <v>280</v>
      </c>
      <c r="O43" s="80"/>
    </row>
    <row r="44" customHeight="1" spans="1:15">
      <c r="A44" s="73" t="str">
        <f t="shared" si="0"/>
        <v>OPPOReno5PRO默认</v>
      </c>
      <c r="B44" s="74" t="s">
        <v>23</v>
      </c>
      <c r="C44" s="74" t="s">
        <v>67</v>
      </c>
      <c r="D44" s="74" t="s">
        <v>100</v>
      </c>
      <c r="E44" s="74" t="s">
        <v>16</v>
      </c>
      <c r="F44" s="74"/>
      <c r="G44" s="75">
        <v>340</v>
      </c>
      <c r="O44" s="80"/>
    </row>
    <row r="45" customHeight="1" spans="1:15">
      <c r="A45" s="73" t="str">
        <f t="shared" si="0"/>
        <v>OPPOReno6默认</v>
      </c>
      <c r="B45" s="74" t="s">
        <v>23</v>
      </c>
      <c r="C45" s="74" t="s">
        <v>67</v>
      </c>
      <c r="D45" s="74" t="s">
        <v>101</v>
      </c>
      <c r="E45" s="74" t="s">
        <v>16</v>
      </c>
      <c r="F45" s="74"/>
      <c r="G45" s="75">
        <v>320</v>
      </c>
      <c r="O45" s="80"/>
    </row>
    <row r="46" customHeight="1" spans="1:15">
      <c r="A46" s="73" t="str">
        <f t="shared" si="0"/>
        <v>OPPOReno8128G</v>
      </c>
      <c r="B46" s="74" t="s">
        <v>23</v>
      </c>
      <c r="C46" s="74" t="s">
        <v>67</v>
      </c>
      <c r="D46" s="74" t="s">
        <v>102</v>
      </c>
      <c r="E46" s="74" t="s">
        <v>103</v>
      </c>
      <c r="F46" s="74" t="s">
        <v>104</v>
      </c>
      <c r="G46" s="75">
        <v>380</v>
      </c>
      <c r="O46" s="80"/>
    </row>
    <row r="47" customHeight="1" spans="1:15">
      <c r="A47" s="73" t="str">
        <f t="shared" si="0"/>
        <v>OPPOReno8256G</v>
      </c>
      <c r="B47" s="74" t="s">
        <v>23</v>
      </c>
      <c r="C47" s="74" t="s">
        <v>67</v>
      </c>
      <c r="D47" s="74" t="s">
        <v>102</v>
      </c>
      <c r="E47" s="74" t="s">
        <v>105</v>
      </c>
      <c r="F47" s="74" t="s">
        <v>106</v>
      </c>
      <c r="G47" s="75">
        <v>400</v>
      </c>
      <c r="O47" s="80"/>
    </row>
    <row r="48" customHeight="1" spans="1:15">
      <c r="A48" s="73" t="str">
        <f t="shared" si="0"/>
        <v>OPPOReno8默认</v>
      </c>
      <c r="B48" s="74" t="s">
        <v>23</v>
      </c>
      <c r="C48" s="74" t="s">
        <v>67</v>
      </c>
      <c r="D48" s="74" t="s">
        <v>102</v>
      </c>
      <c r="E48" s="74" t="s">
        <v>16</v>
      </c>
      <c r="F48" s="74"/>
      <c r="G48" s="75">
        <v>380</v>
      </c>
      <c r="O48" s="80"/>
    </row>
    <row r="49" customHeight="1" spans="1:15">
      <c r="A49" s="73" t="str">
        <f t="shared" si="0"/>
        <v>OPPOv11默认</v>
      </c>
      <c r="B49" s="74" t="s">
        <v>23</v>
      </c>
      <c r="C49" s="74" t="s">
        <v>67</v>
      </c>
      <c r="D49" s="74" t="s">
        <v>107</v>
      </c>
      <c r="E49" s="74" t="s">
        <v>16</v>
      </c>
      <c r="F49" s="74"/>
      <c r="G49" s="75" t="s">
        <v>17</v>
      </c>
      <c r="O49" s="80"/>
    </row>
    <row r="50" customHeight="1" spans="1:15">
      <c r="A50" s="73" t="str">
        <f t="shared" si="0"/>
        <v>Sony x5默认</v>
      </c>
      <c r="B50" s="74" t="s">
        <v>23</v>
      </c>
      <c r="C50" s="74" t="s">
        <v>108</v>
      </c>
      <c r="D50" s="74" t="s">
        <v>109</v>
      </c>
      <c r="E50" s="74" t="s">
        <v>16</v>
      </c>
      <c r="F50" s="74"/>
      <c r="G50" s="75">
        <v>800</v>
      </c>
      <c r="O50" s="80"/>
    </row>
    <row r="51" customHeight="1" spans="1:15">
      <c r="A51" s="73" t="str">
        <f t="shared" si="0"/>
        <v>vivo X200 Pro mini128G</v>
      </c>
      <c r="B51" s="74" t="s">
        <v>23</v>
      </c>
      <c r="C51" s="74" t="s">
        <v>110</v>
      </c>
      <c r="D51" s="74" t="s">
        <v>111</v>
      </c>
      <c r="E51" s="74" t="s">
        <v>103</v>
      </c>
      <c r="F51" s="74"/>
      <c r="G51" s="75" t="s">
        <v>17</v>
      </c>
      <c r="O51" s="80"/>
    </row>
    <row r="52" customHeight="1" spans="1:15">
      <c r="A52" s="73" t="str">
        <f t="shared" si="0"/>
        <v>vivo X200 Pro mini默认</v>
      </c>
      <c r="B52" s="74" t="s">
        <v>23</v>
      </c>
      <c r="C52" s="74" t="s">
        <v>110</v>
      </c>
      <c r="D52" s="74" t="s">
        <v>111</v>
      </c>
      <c r="E52" s="74" t="s">
        <v>16</v>
      </c>
      <c r="F52" s="74"/>
      <c r="G52" s="75" t="s">
        <v>17</v>
      </c>
      <c r="O52" s="80"/>
    </row>
    <row r="53" customHeight="1" spans="1:15">
      <c r="A53" s="73" t="str">
        <f t="shared" si="0"/>
        <v>VIVO x30默认</v>
      </c>
      <c r="B53" s="74" t="s">
        <v>23</v>
      </c>
      <c r="C53" s="74" t="s">
        <v>110</v>
      </c>
      <c r="D53" s="74" t="s">
        <v>112</v>
      </c>
      <c r="E53" s="74" t="s">
        <v>16</v>
      </c>
      <c r="F53" s="74"/>
      <c r="G53" s="75">
        <v>280</v>
      </c>
      <c r="O53" s="80"/>
    </row>
    <row r="54" customHeight="1" spans="1:15">
      <c r="A54" s="73" t="str">
        <f t="shared" si="0"/>
        <v>VIVOIQOO默认</v>
      </c>
      <c r="B54" s="74" t="s">
        <v>23</v>
      </c>
      <c r="C54" s="74" t="s">
        <v>110</v>
      </c>
      <c r="D54" s="74" t="s">
        <v>113</v>
      </c>
      <c r="E54" s="74" t="s">
        <v>16</v>
      </c>
      <c r="F54" s="74"/>
      <c r="G54" s="75" t="s">
        <v>17</v>
      </c>
      <c r="O54" s="80"/>
    </row>
    <row r="55" customHeight="1" spans="1:15">
      <c r="A55" s="73" t="str">
        <f t="shared" si="0"/>
        <v>VIVONEXS默认</v>
      </c>
      <c r="B55" s="74" t="s">
        <v>23</v>
      </c>
      <c r="C55" s="74" t="s">
        <v>110</v>
      </c>
      <c r="D55" s="74" t="s">
        <v>114</v>
      </c>
      <c r="E55" s="74" t="s">
        <v>16</v>
      </c>
      <c r="F55" s="74"/>
      <c r="G55" s="75" t="s">
        <v>17</v>
      </c>
      <c r="O55" s="80"/>
    </row>
    <row r="56" customHeight="1" spans="1:15">
      <c r="A56" s="73" t="str">
        <f t="shared" si="0"/>
        <v>VIVOS10默认</v>
      </c>
      <c r="B56" s="74" t="s">
        <v>23</v>
      </c>
      <c r="C56" s="74" t="s">
        <v>110</v>
      </c>
      <c r="D56" s="74" t="s">
        <v>115</v>
      </c>
      <c r="E56" s="74" t="s">
        <v>16</v>
      </c>
      <c r="F56" s="74"/>
      <c r="G56" s="75" t="s">
        <v>17</v>
      </c>
      <c r="O56" s="80"/>
    </row>
    <row r="57" customHeight="1" spans="1:15">
      <c r="A57" s="73" t="str">
        <f t="shared" si="0"/>
        <v>VIVOS10PRO默认</v>
      </c>
      <c r="B57" s="74" t="s">
        <v>23</v>
      </c>
      <c r="C57" s="74" t="s">
        <v>110</v>
      </c>
      <c r="D57" s="74" t="s">
        <v>116</v>
      </c>
      <c r="E57" s="74" t="s">
        <v>16</v>
      </c>
      <c r="F57" s="74"/>
      <c r="G57" s="75">
        <v>450</v>
      </c>
      <c r="O57" s="80"/>
    </row>
    <row r="58" customHeight="1" spans="1:15">
      <c r="A58" s="73" t="str">
        <f t="shared" si="0"/>
        <v>VIVOS12默认</v>
      </c>
      <c r="B58" s="74" t="s">
        <v>23</v>
      </c>
      <c r="C58" s="74" t="s">
        <v>110</v>
      </c>
      <c r="D58" s="74" t="s">
        <v>117</v>
      </c>
      <c r="E58" s="74" t="s">
        <v>16</v>
      </c>
      <c r="F58" s="74"/>
      <c r="G58" s="75" t="s">
        <v>17</v>
      </c>
      <c r="O58" s="80"/>
    </row>
    <row r="59" customHeight="1" spans="1:15">
      <c r="A59" s="73" t="str">
        <f t="shared" si="0"/>
        <v>vivoS6默认</v>
      </c>
      <c r="B59" s="74" t="s">
        <v>23</v>
      </c>
      <c r="C59" s="74" t="s">
        <v>110</v>
      </c>
      <c r="D59" s="74" t="s">
        <v>118</v>
      </c>
      <c r="E59" s="74" t="s">
        <v>16</v>
      </c>
      <c r="F59" s="74"/>
      <c r="G59" s="75" t="s">
        <v>17</v>
      </c>
      <c r="O59" s="80"/>
    </row>
    <row r="60" customHeight="1" spans="1:15">
      <c r="A60" s="73" t="str">
        <f t="shared" si="0"/>
        <v>VIVOS7默认</v>
      </c>
      <c r="B60" s="74" t="s">
        <v>23</v>
      </c>
      <c r="C60" s="74" t="s">
        <v>110</v>
      </c>
      <c r="D60" s="74" t="s">
        <v>119</v>
      </c>
      <c r="E60" s="74" t="s">
        <v>16</v>
      </c>
      <c r="F60" s="74"/>
      <c r="G60" s="75" t="s">
        <v>17</v>
      </c>
      <c r="O60" s="80"/>
    </row>
    <row r="61" customHeight="1" spans="1:15">
      <c r="A61" s="73" t="str">
        <f t="shared" si="0"/>
        <v>VIVOS75默认</v>
      </c>
      <c r="B61" s="74" t="s">
        <v>23</v>
      </c>
      <c r="C61" s="74" t="s">
        <v>110</v>
      </c>
      <c r="D61" s="74" t="s">
        <v>120</v>
      </c>
      <c r="E61" s="74" t="s">
        <v>16</v>
      </c>
      <c r="F61" s="74"/>
      <c r="G61" s="75" t="s">
        <v>17</v>
      </c>
      <c r="O61" s="80"/>
    </row>
    <row r="62" customHeight="1" spans="1:15">
      <c r="A62" s="73" t="str">
        <f t="shared" si="0"/>
        <v>VIVOX12默认</v>
      </c>
      <c r="B62" s="74" t="s">
        <v>23</v>
      </c>
      <c r="C62" s="74" t="s">
        <v>110</v>
      </c>
      <c r="D62" s="74" t="s">
        <v>121</v>
      </c>
      <c r="E62" s="74" t="s">
        <v>16</v>
      </c>
      <c r="F62" s="74"/>
      <c r="G62" s="75" t="s">
        <v>17</v>
      </c>
      <c r="O62" s="80"/>
    </row>
    <row r="63" customHeight="1" spans="1:15">
      <c r="A63" s="73" t="str">
        <f t="shared" si="0"/>
        <v>VIVOX21默认</v>
      </c>
      <c r="B63" s="74" t="s">
        <v>23</v>
      </c>
      <c r="C63" s="74" t="s">
        <v>110</v>
      </c>
      <c r="D63" s="74" t="s">
        <v>122</v>
      </c>
      <c r="E63" s="74" t="s">
        <v>16</v>
      </c>
      <c r="F63" s="74"/>
      <c r="G63" s="75">
        <v>200</v>
      </c>
      <c r="O63" s="80"/>
    </row>
    <row r="64" customHeight="1" spans="1:15">
      <c r="A64" s="73" t="str">
        <f t="shared" si="0"/>
        <v>VIVOX21A默认</v>
      </c>
      <c r="B64" s="74" t="s">
        <v>23</v>
      </c>
      <c r="C64" s="74" t="s">
        <v>110</v>
      </c>
      <c r="D64" s="74" t="s">
        <v>123</v>
      </c>
      <c r="E64" s="74" t="s">
        <v>16</v>
      </c>
      <c r="F64" s="74"/>
      <c r="G64" s="75">
        <v>200</v>
      </c>
      <c r="O64" s="80"/>
    </row>
    <row r="65" customHeight="1" spans="1:15">
      <c r="A65" s="73" t="str">
        <f t="shared" si="0"/>
        <v>VIVOX27默认</v>
      </c>
      <c r="B65" s="74" t="s">
        <v>23</v>
      </c>
      <c r="C65" s="74" t="s">
        <v>110</v>
      </c>
      <c r="D65" s="74" t="s">
        <v>124</v>
      </c>
      <c r="E65" s="74" t="s">
        <v>16</v>
      </c>
      <c r="F65" s="74"/>
      <c r="G65" s="75">
        <v>250</v>
      </c>
      <c r="O65" s="80"/>
    </row>
    <row r="66" customHeight="1" spans="1:15">
      <c r="A66" s="73" t="str">
        <f t="shared" si="0"/>
        <v>VIVOy30默认</v>
      </c>
      <c r="B66" s="74" t="s">
        <v>23</v>
      </c>
      <c r="C66" s="74" t="s">
        <v>110</v>
      </c>
      <c r="D66" s="74" t="s">
        <v>125</v>
      </c>
      <c r="E66" s="74" t="s">
        <v>16</v>
      </c>
      <c r="F66" s="74"/>
      <c r="G66" s="75" t="s">
        <v>17</v>
      </c>
      <c r="O66" s="80"/>
    </row>
    <row r="67" customHeight="1" spans="1:15">
      <c r="A67" s="73" t="str">
        <f t="shared" ref="A67:A130" si="1">D67&amp;E67</f>
        <v>VIVOY51s默认</v>
      </c>
      <c r="B67" s="74" t="s">
        <v>23</v>
      </c>
      <c r="C67" s="74" t="s">
        <v>110</v>
      </c>
      <c r="D67" s="74" t="s">
        <v>126</v>
      </c>
      <c r="E67" s="74" t="s">
        <v>16</v>
      </c>
      <c r="F67" s="74"/>
      <c r="G67" s="75" t="s">
        <v>17</v>
      </c>
      <c r="O67" s="80"/>
    </row>
    <row r="68" customHeight="1" spans="1:15">
      <c r="A68" s="73" t="str">
        <f t="shared" si="1"/>
        <v>VIVOY5S默认</v>
      </c>
      <c r="B68" s="74" t="s">
        <v>23</v>
      </c>
      <c r="C68" s="74" t="s">
        <v>110</v>
      </c>
      <c r="D68" s="74" t="s">
        <v>127</v>
      </c>
      <c r="E68" s="74" t="s">
        <v>16</v>
      </c>
      <c r="F68" s="74"/>
      <c r="G68" s="75" t="s">
        <v>17</v>
      </c>
      <c r="O68" s="80"/>
    </row>
    <row r="69" customHeight="1" spans="1:15">
      <c r="A69" s="73" t="str">
        <f t="shared" si="1"/>
        <v>vivoy70S默认</v>
      </c>
      <c r="B69" s="74" t="s">
        <v>23</v>
      </c>
      <c r="C69" s="74" t="s">
        <v>110</v>
      </c>
      <c r="D69" s="74" t="s">
        <v>128</v>
      </c>
      <c r="E69" s="74" t="s">
        <v>16</v>
      </c>
      <c r="F69" s="74"/>
      <c r="G69" s="75" t="s">
        <v>17</v>
      </c>
      <c r="O69" s="80"/>
    </row>
    <row r="70" customHeight="1" spans="1:15">
      <c r="A70" s="73" t="str">
        <f t="shared" si="1"/>
        <v>大疆pocket3全能版相机默认</v>
      </c>
      <c r="B70" s="74" t="s">
        <v>23</v>
      </c>
      <c r="C70" s="74" t="s">
        <v>129</v>
      </c>
      <c r="D70" s="74" t="s">
        <v>130</v>
      </c>
      <c r="E70" s="74" t="s">
        <v>16</v>
      </c>
      <c r="F70" s="74"/>
      <c r="G70" s="75">
        <v>2900</v>
      </c>
      <c r="O70" s="80"/>
    </row>
    <row r="71" customHeight="1" spans="1:15">
      <c r="A71" s="73" t="str">
        <f t="shared" si="1"/>
        <v>谷歌2默认</v>
      </c>
      <c r="B71" s="74" t="s">
        <v>23</v>
      </c>
      <c r="C71" s="74" t="s">
        <v>131</v>
      </c>
      <c r="D71" s="74" t="s">
        <v>132</v>
      </c>
      <c r="E71" s="74" t="s">
        <v>16</v>
      </c>
      <c r="F71" s="74"/>
      <c r="G71" s="75" t="s">
        <v>17</v>
      </c>
      <c r="O71" s="80"/>
    </row>
    <row r="72" customHeight="1" spans="1:15">
      <c r="A72" s="73" t="str">
        <f t="shared" si="1"/>
        <v>谷歌3默认</v>
      </c>
      <c r="B72" s="74" t="s">
        <v>23</v>
      </c>
      <c r="C72" s="74" t="s">
        <v>131</v>
      </c>
      <c r="D72" s="74" t="s">
        <v>133</v>
      </c>
      <c r="E72" s="74" t="s">
        <v>16</v>
      </c>
      <c r="F72" s="74"/>
      <c r="G72" s="75">
        <v>300</v>
      </c>
      <c r="O72" s="80"/>
    </row>
    <row r="73" customHeight="1" spans="1:15">
      <c r="A73" s="73" t="str">
        <f t="shared" si="1"/>
        <v>谷歌3A默认</v>
      </c>
      <c r="B73" s="74" t="s">
        <v>23</v>
      </c>
      <c r="C73" s="74" t="s">
        <v>131</v>
      </c>
      <c r="D73" s="74" t="s">
        <v>134</v>
      </c>
      <c r="E73" s="74" t="s">
        <v>16</v>
      </c>
      <c r="F73" s="74"/>
      <c r="G73" s="75">
        <v>300</v>
      </c>
      <c r="O73" s="80"/>
    </row>
    <row r="74" customHeight="1" spans="1:15">
      <c r="A74" s="73" t="str">
        <f t="shared" si="1"/>
        <v>谷歌3解BL默认</v>
      </c>
      <c r="B74" s="74" t="s">
        <v>23</v>
      </c>
      <c r="C74" s="74" t="s">
        <v>131</v>
      </c>
      <c r="D74" s="74" t="s">
        <v>135</v>
      </c>
      <c r="E74" s="74" t="s">
        <v>16</v>
      </c>
      <c r="F74" s="74"/>
      <c r="G74" s="75">
        <v>300</v>
      </c>
      <c r="O74" s="80"/>
    </row>
    <row r="75" customHeight="1" spans="1:15">
      <c r="A75" s="73" t="str">
        <f t="shared" si="1"/>
        <v>谷歌3有锁默认</v>
      </c>
      <c r="B75" s="74" t="s">
        <v>23</v>
      </c>
      <c r="C75" s="74" t="s">
        <v>131</v>
      </c>
      <c r="D75" s="74" t="s">
        <v>136</v>
      </c>
      <c r="E75" s="74" t="s">
        <v>16</v>
      </c>
      <c r="F75" s="74"/>
      <c r="G75" s="75">
        <v>300</v>
      </c>
      <c r="O75" s="80"/>
    </row>
    <row r="76" customHeight="1" spans="1:15">
      <c r="A76" s="73" t="str">
        <f t="shared" si="1"/>
        <v>谷歌4默认</v>
      </c>
      <c r="B76" s="74" t="s">
        <v>23</v>
      </c>
      <c r="C76" s="74" t="s">
        <v>131</v>
      </c>
      <c r="D76" s="74" t="s">
        <v>137</v>
      </c>
      <c r="E76" s="74" t="s">
        <v>16</v>
      </c>
      <c r="F76" s="74"/>
      <c r="G76" s="75" t="s">
        <v>17</v>
      </c>
      <c r="O76" s="80"/>
    </row>
    <row r="77" customHeight="1" spans="1:15">
      <c r="A77" s="73" t="str">
        <f t="shared" si="1"/>
        <v>谷歌5默认</v>
      </c>
      <c r="B77" s="74" t="s">
        <v>23</v>
      </c>
      <c r="C77" s="74" t="s">
        <v>131</v>
      </c>
      <c r="D77" s="74" t="s">
        <v>138</v>
      </c>
      <c r="E77" s="74" t="s">
        <v>16</v>
      </c>
      <c r="F77" s="74"/>
      <c r="G77" s="75">
        <v>500</v>
      </c>
      <c r="O77" s="80"/>
    </row>
    <row r="78" customHeight="1" spans="1:15">
      <c r="A78" s="73" t="str">
        <f t="shared" si="1"/>
        <v>谷歌5有锁默认</v>
      </c>
      <c r="B78" s="74" t="s">
        <v>23</v>
      </c>
      <c r="C78" s="74" t="s">
        <v>131</v>
      </c>
      <c r="D78" s="74" t="s">
        <v>139</v>
      </c>
      <c r="E78" s="74" t="s">
        <v>16</v>
      </c>
      <c r="F78" s="74"/>
      <c r="G78" s="75">
        <v>500</v>
      </c>
      <c r="O78" s="80"/>
    </row>
    <row r="79" customHeight="1" spans="1:15">
      <c r="A79" s="73" t="str">
        <f t="shared" si="1"/>
        <v>红米10A默认</v>
      </c>
      <c r="B79" s="74" t="s">
        <v>23</v>
      </c>
      <c r="C79" s="74" t="s">
        <v>140</v>
      </c>
      <c r="D79" s="74" t="s">
        <v>141</v>
      </c>
      <c r="E79" s="74" t="s">
        <v>16</v>
      </c>
      <c r="F79" s="74"/>
      <c r="G79" s="75">
        <v>190</v>
      </c>
      <c r="O79" s="80"/>
    </row>
    <row r="80" customHeight="1" spans="1:15">
      <c r="A80" s="73" t="str">
        <f t="shared" si="1"/>
        <v>红米10X默认</v>
      </c>
      <c r="B80" s="74" t="s">
        <v>23</v>
      </c>
      <c r="C80" s="74" t="s">
        <v>140</v>
      </c>
      <c r="D80" s="74" t="s">
        <v>142</v>
      </c>
      <c r="E80" s="74" t="s">
        <v>16</v>
      </c>
      <c r="F80" s="74"/>
      <c r="G80" s="75" t="s">
        <v>17</v>
      </c>
      <c r="O80" s="80"/>
    </row>
    <row r="81" customHeight="1" spans="1:15">
      <c r="A81" s="73" t="str">
        <f t="shared" si="1"/>
        <v>红米10XPRO默认</v>
      </c>
      <c r="B81" s="74" t="s">
        <v>23</v>
      </c>
      <c r="C81" s="74" t="s">
        <v>140</v>
      </c>
      <c r="D81" s="74" t="s">
        <v>143</v>
      </c>
      <c r="E81" s="74" t="s">
        <v>16</v>
      </c>
      <c r="F81" s="74"/>
      <c r="G81" s="75" t="s">
        <v>17</v>
      </c>
      <c r="O81" s="80"/>
    </row>
    <row r="82" customHeight="1" spans="1:15">
      <c r="A82" s="73" t="str">
        <f t="shared" si="1"/>
        <v>红米12C默认</v>
      </c>
      <c r="B82" s="74" t="s">
        <v>23</v>
      </c>
      <c r="C82" s="74" t="s">
        <v>140</v>
      </c>
      <c r="D82" s="74" t="s">
        <v>144</v>
      </c>
      <c r="E82" s="74" t="s">
        <v>16</v>
      </c>
      <c r="F82" s="74"/>
      <c r="G82" s="75">
        <v>310</v>
      </c>
      <c r="O82" s="80"/>
    </row>
    <row r="83" customHeight="1" spans="1:15">
      <c r="A83" s="73" t="str">
        <f t="shared" si="1"/>
        <v>红米13C默认</v>
      </c>
      <c r="B83" s="74" t="s">
        <v>23</v>
      </c>
      <c r="C83" s="74" t="s">
        <v>140</v>
      </c>
      <c r="D83" s="74" t="s">
        <v>145</v>
      </c>
      <c r="E83" s="74" t="s">
        <v>16</v>
      </c>
      <c r="F83" s="74"/>
      <c r="G83" s="75">
        <v>350</v>
      </c>
      <c r="O83" s="80"/>
    </row>
    <row r="84" customHeight="1" spans="1:15">
      <c r="A84" s="73" t="str">
        <f t="shared" si="1"/>
        <v>红米13R默认</v>
      </c>
      <c r="B84" s="74" t="s">
        <v>23</v>
      </c>
      <c r="C84" s="74" t="s">
        <v>140</v>
      </c>
      <c r="D84" s="74" t="s">
        <v>146</v>
      </c>
      <c r="E84" s="74" t="s">
        <v>16</v>
      </c>
      <c r="F84" s="74"/>
      <c r="G84" s="75">
        <v>350</v>
      </c>
      <c r="O84" s="80"/>
    </row>
    <row r="85" customHeight="1" spans="1:15">
      <c r="A85" s="73" t="str">
        <f t="shared" si="1"/>
        <v>红米6默认</v>
      </c>
      <c r="B85" s="74" t="s">
        <v>23</v>
      </c>
      <c r="C85" s="74" t="s">
        <v>140</v>
      </c>
      <c r="D85" s="74" t="s">
        <v>147</v>
      </c>
      <c r="E85" s="74" t="s">
        <v>16</v>
      </c>
      <c r="F85" s="74"/>
      <c r="G85" s="75" t="s">
        <v>17</v>
      </c>
      <c r="O85" s="80"/>
    </row>
    <row r="86" customHeight="1" spans="1:15">
      <c r="A86" s="73" t="str">
        <f t="shared" si="1"/>
        <v>红米8默认</v>
      </c>
      <c r="B86" s="74" t="s">
        <v>23</v>
      </c>
      <c r="C86" s="74" t="s">
        <v>140</v>
      </c>
      <c r="D86" s="74" t="s">
        <v>148</v>
      </c>
      <c r="E86" s="74" t="s">
        <v>16</v>
      </c>
      <c r="F86" s="74"/>
      <c r="G86" s="75" t="s">
        <v>17</v>
      </c>
      <c r="O86" s="80"/>
    </row>
    <row r="87" customHeight="1" spans="1:15">
      <c r="A87" s="73" t="str">
        <f t="shared" si="1"/>
        <v>红米8A默认</v>
      </c>
      <c r="B87" s="74" t="s">
        <v>23</v>
      </c>
      <c r="C87" s="74" t="s">
        <v>140</v>
      </c>
      <c r="D87" s="74" t="s">
        <v>149</v>
      </c>
      <c r="E87" s="74" t="s">
        <v>16</v>
      </c>
      <c r="F87" s="74"/>
      <c r="G87" s="75">
        <v>150</v>
      </c>
      <c r="O87" s="80"/>
    </row>
    <row r="88" customHeight="1" spans="1:15">
      <c r="A88" s="73" t="str">
        <f t="shared" si="1"/>
        <v>红米9默认</v>
      </c>
      <c r="B88" s="74" t="s">
        <v>23</v>
      </c>
      <c r="C88" s="74" t="s">
        <v>140</v>
      </c>
      <c r="D88" s="74" t="s">
        <v>150</v>
      </c>
      <c r="E88" s="74" t="s">
        <v>16</v>
      </c>
      <c r="F88" s="74"/>
      <c r="G88" s="75">
        <v>280</v>
      </c>
      <c r="O88" s="80"/>
    </row>
    <row r="89" customHeight="1" spans="1:15">
      <c r="A89" s="73" t="str">
        <f t="shared" si="1"/>
        <v>红米9A默认</v>
      </c>
      <c r="B89" s="74" t="s">
        <v>23</v>
      </c>
      <c r="C89" s="74" t="s">
        <v>140</v>
      </c>
      <c r="D89" s="74" t="s">
        <v>151</v>
      </c>
      <c r="E89" s="74" t="s">
        <v>16</v>
      </c>
      <c r="F89" s="74"/>
      <c r="G89" s="75">
        <v>190</v>
      </c>
      <c r="O89" s="80"/>
    </row>
    <row r="90" customHeight="1" spans="1:15">
      <c r="A90" s="73" t="str">
        <f t="shared" si="1"/>
        <v>红米9解BL默认</v>
      </c>
      <c r="B90" s="74" t="s">
        <v>23</v>
      </c>
      <c r="C90" s="74" t="s">
        <v>140</v>
      </c>
      <c r="D90" s="74" t="s">
        <v>152</v>
      </c>
      <c r="E90" s="74" t="s">
        <v>16</v>
      </c>
      <c r="F90" s="74"/>
      <c r="G90" s="75">
        <v>190</v>
      </c>
      <c r="O90" s="80"/>
    </row>
    <row r="91" customHeight="1" spans="1:15">
      <c r="A91" s="73" t="str">
        <f t="shared" si="1"/>
        <v>红米K20PRO默认</v>
      </c>
      <c r="B91" s="74" t="s">
        <v>23</v>
      </c>
      <c r="C91" s="74" t="s">
        <v>140</v>
      </c>
      <c r="D91" s="74" t="s">
        <v>153</v>
      </c>
      <c r="E91" s="74" t="s">
        <v>16</v>
      </c>
      <c r="F91" s="74"/>
      <c r="G91" s="75">
        <v>280</v>
      </c>
      <c r="O91" s="80"/>
    </row>
    <row r="92" customHeight="1" spans="1:15">
      <c r="A92" s="73" t="str">
        <f t="shared" si="1"/>
        <v>红米K304G</v>
      </c>
      <c r="B92" s="74" t="s">
        <v>23</v>
      </c>
      <c r="C92" s="74" t="s">
        <v>140</v>
      </c>
      <c r="D92" s="74" t="s">
        <v>154</v>
      </c>
      <c r="E92" s="74" t="s">
        <v>42</v>
      </c>
      <c r="F92" s="74"/>
      <c r="G92" s="75">
        <v>300</v>
      </c>
      <c r="O92" s="80"/>
    </row>
    <row r="93" customHeight="1" spans="1:15">
      <c r="A93" s="73" t="str">
        <f t="shared" si="1"/>
        <v>红米K305G</v>
      </c>
      <c r="B93" s="74" t="s">
        <v>23</v>
      </c>
      <c r="C93" s="74" t="s">
        <v>140</v>
      </c>
      <c r="D93" s="74" t="s">
        <v>154</v>
      </c>
      <c r="E93" s="74" t="s">
        <v>46</v>
      </c>
      <c r="F93" s="74"/>
      <c r="G93" s="75">
        <v>330</v>
      </c>
      <c r="O93" s="80"/>
    </row>
    <row r="94" customHeight="1" spans="1:15">
      <c r="A94" s="73" t="str">
        <f t="shared" si="1"/>
        <v>红米K30默认</v>
      </c>
      <c r="B94" s="74" t="s">
        <v>23</v>
      </c>
      <c r="C94" s="74" t="s">
        <v>140</v>
      </c>
      <c r="D94" s="74" t="s">
        <v>154</v>
      </c>
      <c r="E94" s="74" t="s">
        <v>16</v>
      </c>
      <c r="F94" s="74"/>
      <c r="G94" s="75">
        <v>300</v>
      </c>
      <c r="O94" s="80"/>
    </row>
    <row r="95" customHeight="1" spans="1:15">
      <c r="A95" s="73" t="str">
        <f t="shared" si="1"/>
        <v>红米K304G解BL默认</v>
      </c>
      <c r="B95" s="74" t="s">
        <v>23</v>
      </c>
      <c r="C95" s="74" t="s">
        <v>140</v>
      </c>
      <c r="D95" s="74" t="s">
        <v>155</v>
      </c>
      <c r="E95" s="74" t="s">
        <v>16</v>
      </c>
      <c r="F95" s="74"/>
      <c r="G95" s="75">
        <v>300</v>
      </c>
      <c r="O95" s="80"/>
    </row>
    <row r="96" customHeight="1" spans="1:15">
      <c r="A96" s="73" t="str">
        <f t="shared" si="1"/>
        <v>红米K305G解BL默认</v>
      </c>
      <c r="B96" s="74" t="s">
        <v>23</v>
      </c>
      <c r="C96" s="74" t="s">
        <v>140</v>
      </c>
      <c r="D96" s="74" t="s">
        <v>156</v>
      </c>
      <c r="E96" s="74" t="s">
        <v>16</v>
      </c>
      <c r="F96" s="74"/>
      <c r="G96" s="75">
        <v>330</v>
      </c>
      <c r="O96" s="80"/>
    </row>
    <row r="97" customHeight="1" spans="1:15">
      <c r="A97" s="73" t="str">
        <f t="shared" si="1"/>
        <v>红米K30i默认</v>
      </c>
      <c r="B97" s="74" t="s">
        <v>23</v>
      </c>
      <c r="C97" s="74" t="s">
        <v>140</v>
      </c>
      <c r="D97" s="74" t="s">
        <v>157</v>
      </c>
      <c r="E97" s="74" t="s">
        <v>16</v>
      </c>
      <c r="F97" s="74"/>
      <c r="G97" s="75">
        <v>300</v>
      </c>
      <c r="O97" s="80"/>
    </row>
    <row r="98" customHeight="1" spans="1:15">
      <c r="A98" s="73" t="str">
        <f t="shared" si="1"/>
        <v>红米K30解BL默认</v>
      </c>
      <c r="B98" s="74" t="s">
        <v>23</v>
      </c>
      <c r="C98" s="74" t="s">
        <v>140</v>
      </c>
      <c r="D98" s="74" t="s">
        <v>158</v>
      </c>
      <c r="E98" s="74" t="s">
        <v>16</v>
      </c>
      <c r="F98" s="74"/>
      <c r="G98" s="75">
        <v>300</v>
      </c>
      <c r="O98" s="80"/>
    </row>
    <row r="99" customHeight="1" spans="1:15">
      <c r="A99" s="73" t="str">
        <f t="shared" si="1"/>
        <v>红米K40128G</v>
      </c>
      <c r="B99" s="74" t="s">
        <v>23</v>
      </c>
      <c r="C99" s="74" t="s">
        <v>140</v>
      </c>
      <c r="D99" s="74" t="s">
        <v>159</v>
      </c>
      <c r="E99" s="74" t="s">
        <v>103</v>
      </c>
      <c r="F99" s="74"/>
      <c r="G99" s="75">
        <v>400</v>
      </c>
      <c r="O99" s="80"/>
    </row>
    <row r="100" customHeight="1" spans="1:15">
      <c r="A100" s="73" t="str">
        <f t="shared" si="1"/>
        <v>红米K40256G</v>
      </c>
      <c r="B100" s="74" t="s">
        <v>23</v>
      </c>
      <c r="C100" s="74" t="s">
        <v>140</v>
      </c>
      <c r="D100" s="74" t="s">
        <v>159</v>
      </c>
      <c r="E100" s="74" t="s">
        <v>105</v>
      </c>
      <c r="F100" s="74"/>
      <c r="G100" s="75">
        <v>420</v>
      </c>
      <c r="O100" s="80"/>
    </row>
    <row r="101" customHeight="1" spans="1:15">
      <c r="A101" s="73" t="str">
        <f t="shared" si="1"/>
        <v>红米K40默认</v>
      </c>
      <c r="B101" s="74" t="s">
        <v>23</v>
      </c>
      <c r="C101" s="74" t="s">
        <v>140</v>
      </c>
      <c r="D101" s="74" t="s">
        <v>159</v>
      </c>
      <c r="E101" s="74" t="s">
        <v>16</v>
      </c>
      <c r="F101" s="74"/>
      <c r="G101" s="75">
        <v>400</v>
      </c>
      <c r="O101" s="80"/>
    </row>
    <row r="102" customHeight="1" spans="1:15">
      <c r="A102" s="73" t="str">
        <f t="shared" si="1"/>
        <v>红米K40游戏版</v>
      </c>
      <c r="B102" s="74" t="s">
        <v>23</v>
      </c>
      <c r="C102" s="74" t="s">
        <v>140</v>
      </c>
      <c r="D102" s="74" t="s">
        <v>159</v>
      </c>
      <c r="E102" s="74" t="s">
        <v>160</v>
      </c>
      <c r="F102" s="74"/>
      <c r="G102" s="75" t="s">
        <v>17</v>
      </c>
      <c r="O102" s="80"/>
    </row>
    <row r="103" customHeight="1" spans="1:15">
      <c r="A103" s="73" t="str">
        <f t="shared" si="1"/>
        <v>红米K40PRO默认</v>
      </c>
      <c r="B103" s="74" t="s">
        <v>23</v>
      </c>
      <c r="C103" s="74" t="s">
        <v>140</v>
      </c>
      <c r="D103" s="74" t="s">
        <v>161</v>
      </c>
      <c r="E103" s="74" t="s">
        <v>16</v>
      </c>
      <c r="F103" s="74"/>
      <c r="G103" s="75" t="s">
        <v>17</v>
      </c>
      <c r="O103" s="80"/>
    </row>
    <row r="104" customHeight="1" spans="1:15">
      <c r="A104" s="73" t="str">
        <f t="shared" si="1"/>
        <v>红米K40解BL默认</v>
      </c>
      <c r="B104" s="74" t="s">
        <v>23</v>
      </c>
      <c r="C104" s="74" t="s">
        <v>140</v>
      </c>
      <c r="D104" s="74" t="s">
        <v>162</v>
      </c>
      <c r="E104" s="74" t="s">
        <v>16</v>
      </c>
      <c r="F104" s="74"/>
      <c r="G104" s="75" t="s">
        <v>17</v>
      </c>
      <c r="O104" s="80"/>
    </row>
    <row r="105" customHeight="1" spans="1:15">
      <c r="A105" s="73" t="str">
        <f t="shared" si="1"/>
        <v>红米k60默认</v>
      </c>
      <c r="B105" s="74" t="s">
        <v>23</v>
      </c>
      <c r="C105" s="74" t="s">
        <v>140</v>
      </c>
      <c r="D105" s="74" t="s">
        <v>163</v>
      </c>
      <c r="E105" s="74" t="s">
        <v>16</v>
      </c>
      <c r="F105" s="74"/>
      <c r="G105" s="75" t="s">
        <v>17</v>
      </c>
      <c r="O105" s="80"/>
    </row>
    <row r="106" customHeight="1" spans="1:15">
      <c r="A106" s="73" t="str">
        <f t="shared" si="1"/>
        <v>红米K80默认</v>
      </c>
      <c r="B106" s="74" t="s">
        <v>23</v>
      </c>
      <c r="C106" s="74" t="s">
        <v>140</v>
      </c>
      <c r="D106" s="74" t="s">
        <v>164</v>
      </c>
      <c r="E106" s="74" t="s">
        <v>16</v>
      </c>
      <c r="F106" s="74"/>
      <c r="G106" s="75" t="s">
        <v>17</v>
      </c>
      <c r="O106" s="80"/>
    </row>
    <row r="107" customHeight="1" spans="1:15">
      <c r="A107" s="73" t="str">
        <f t="shared" si="1"/>
        <v>红米note10默认</v>
      </c>
      <c r="B107" s="74" t="s">
        <v>23</v>
      </c>
      <c r="C107" s="74" t="s">
        <v>140</v>
      </c>
      <c r="D107" s="74" t="s">
        <v>165</v>
      </c>
      <c r="E107" s="74" t="s">
        <v>16</v>
      </c>
      <c r="F107" s="74"/>
      <c r="G107" s="75">
        <v>360</v>
      </c>
      <c r="O107" s="80"/>
    </row>
    <row r="108" customHeight="1" spans="1:15">
      <c r="A108" s="73" t="str">
        <f t="shared" si="1"/>
        <v>红米note10PRO默认</v>
      </c>
      <c r="B108" s="74" t="s">
        <v>23</v>
      </c>
      <c r="C108" s="74" t="s">
        <v>140</v>
      </c>
      <c r="D108" s="74" t="s">
        <v>166</v>
      </c>
      <c r="E108" s="74" t="s">
        <v>16</v>
      </c>
      <c r="F108" s="74"/>
      <c r="G108" s="75">
        <v>360</v>
      </c>
      <c r="O108" s="80"/>
    </row>
    <row r="109" customHeight="1" spans="1:15">
      <c r="A109" s="73" t="str">
        <f t="shared" si="1"/>
        <v>红米note10PRO解BL默认</v>
      </c>
      <c r="B109" s="74" t="s">
        <v>23</v>
      </c>
      <c r="C109" s="74" t="s">
        <v>140</v>
      </c>
      <c r="D109" s="74" t="s">
        <v>167</v>
      </c>
      <c r="E109" s="74" t="s">
        <v>16</v>
      </c>
      <c r="F109" s="74"/>
      <c r="G109" s="75">
        <v>360</v>
      </c>
      <c r="O109" s="80"/>
    </row>
    <row r="110" customHeight="1" spans="1:15">
      <c r="A110" s="73" t="str">
        <f t="shared" si="1"/>
        <v>红米note10解BL默认</v>
      </c>
      <c r="B110" s="74" t="s">
        <v>23</v>
      </c>
      <c r="C110" s="74" t="s">
        <v>140</v>
      </c>
      <c r="D110" s="74" t="s">
        <v>168</v>
      </c>
      <c r="E110" s="74" t="s">
        <v>16</v>
      </c>
      <c r="F110" s="74"/>
      <c r="G110" s="75">
        <v>360</v>
      </c>
      <c r="O110" s="80"/>
    </row>
    <row r="111" customHeight="1" spans="1:15">
      <c r="A111" s="73" t="str">
        <f t="shared" si="1"/>
        <v>红米note11默认</v>
      </c>
      <c r="B111" s="74" t="s">
        <v>23</v>
      </c>
      <c r="C111" s="74" t="s">
        <v>140</v>
      </c>
      <c r="D111" s="74" t="s">
        <v>169</v>
      </c>
      <c r="E111" s="74" t="s">
        <v>16</v>
      </c>
      <c r="F111" s="74"/>
      <c r="G111" s="75">
        <v>350</v>
      </c>
      <c r="O111" s="80"/>
    </row>
    <row r="112" customHeight="1" spans="1:15">
      <c r="A112" s="73" t="str">
        <f t="shared" si="1"/>
        <v>红米note11PRO默认</v>
      </c>
      <c r="B112" s="74" t="s">
        <v>23</v>
      </c>
      <c r="C112" s="74" t="s">
        <v>140</v>
      </c>
      <c r="D112" s="74" t="s">
        <v>170</v>
      </c>
      <c r="E112" s="74" t="s">
        <v>16</v>
      </c>
      <c r="F112" s="74"/>
      <c r="G112" s="75">
        <v>380</v>
      </c>
      <c r="O112" s="80"/>
    </row>
    <row r="113" customHeight="1" spans="1:15">
      <c r="A113" s="73" t="str">
        <f t="shared" si="1"/>
        <v>红米note11PRO解BL默认</v>
      </c>
      <c r="B113" s="74" t="s">
        <v>23</v>
      </c>
      <c r="C113" s="74" t="s">
        <v>140</v>
      </c>
      <c r="D113" s="74" t="s">
        <v>171</v>
      </c>
      <c r="E113" s="74" t="s">
        <v>16</v>
      </c>
      <c r="F113" s="74"/>
      <c r="G113" s="75">
        <v>380</v>
      </c>
      <c r="O113" s="80"/>
    </row>
    <row r="114" customHeight="1" spans="1:15">
      <c r="A114" s="73" t="str">
        <f t="shared" si="1"/>
        <v>红米note11解BL默认</v>
      </c>
      <c r="B114" s="74" t="s">
        <v>23</v>
      </c>
      <c r="C114" s="74" t="s">
        <v>140</v>
      </c>
      <c r="D114" s="74" t="s">
        <v>172</v>
      </c>
      <c r="E114" s="74" t="s">
        <v>16</v>
      </c>
      <c r="F114" s="74"/>
      <c r="G114" s="75">
        <v>350</v>
      </c>
      <c r="O114" s="80"/>
    </row>
    <row r="115" customHeight="1" spans="1:15">
      <c r="A115" s="73" t="str">
        <f t="shared" si="1"/>
        <v>红米note12128G</v>
      </c>
      <c r="B115" s="74" t="s">
        <v>23</v>
      </c>
      <c r="C115" s="74" t="s">
        <v>140</v>
      </c>
      <c r="D115" s="74" t="s">
        <v>173</v>
      </c>
      <c r="E115" s="74" t="s">
        <v>103</v>
      </c>
      <c r="F115" s="74"/>
      <c r="G115" s="75">
        <v>380</v>
      </c>
      <c r="O115" s="80"/>
    </row>
    <row r="116" customHeight="1" spans="1:15">
      <c r="A116" s="73" t="str">
        <f t="shared" si="1"/>
        <v>红米note12256G</v>
      </c>
      <c r="B116" s="74" t="s">
        <v>23</v>
      </c>
      <c r="C116" s="74" t="s">
        <v>140</v>
      </c>
      <c r="D116" s="74" t="s">
        <v>173</v>
      </c>
      <c r="E116" s="74" t="s">
        <v>105</v>
      </c>
      <c r="F116" s="74"/>
      <c r="G116" s="75">
        <v>400</v>
      </c>
      <c r="O116" s="80"/>
    </row>
    <row r="117" customHeight="1" spans="1:15">
      <c r="A117" s="73" t="str">
        <f t="shared" si="1"/>
        <v>红米note12默认</v>
      </c>
      <c r="B117" s="74" t="s">
        <v>23</v>
      </c>
      <c r="C117" s="74" t="s">
        <v>140</v>
      </c>
      <c r="D117" s="74" t="s">
        <v>173</v>
      </c>
      <c r="E117" s="74" t="s">
        <v>16</v>
      </c>
      <c r="F117" s="74"/>
      <c r="G117" s="75">
        <v>380</v>
      </c>
      <c r="O117" s="80"/>
    </row>
    <row r="118" customHeight="1" spans="1:15">
      <c r="A118" s="73" t="str">
        <f t="shared" si="1"/>
        <v>红米note12PRO默认</v>
      </c>
      <c r="B118" s="74" t="s">
        <v>23</v>
      </c>
      <c r="C118" s="74" t="s">
        <v>140</v>
      </c>
      <c r="D118" s="74" t="s">
        <v>174</v>
      </c>
      <c r="E118" s="74" t="s">
        <v>16</v>
      </c>
      <c r="F118" s="74"/>
      <c r="G118" s="75" t="s">
        <v>17</v>
      </c>
      <c r="O118" s="80"/>
    </row>
    <row r="119" customHeight="1" spans="1:15">
      <c r="A119" s="73" t="str">
        <f t="shared" si="1"/>
        <v>红米note12解BL默认</v>
      </c>
      <c r="B119" s="74" t="s">
        <v>23</v>
      </c>
      <c r="C119" s="74" t="s">
        <v>140</v>
      </c>
      <c r="D119" s="74" t="s">
        <v>175</v>
      </c>
      <c r="E119" s="74" t="s">
        <v>16</v>
      </c>
      <c r="F119" s="74"/>
      <c r="G119" s="75">
        <v>380</v>
      </c>
      <c r="O119" s="80"/>
    </row>
    <row r="120" customHeight="1" spans="1:15">
      <c r="A120" s="73" t="str">
        <f t="shared" si="1"/>
        <v>红米note13默认</v>
      </c>
      <c r="B120" s="74" t="s">
        <v>23</v>
      </c>
      <c r="C120" s="74" t="s">
        <v>140</v>
      </c>
      <c r="D120" s="74" t="s">
        <v>176</v>
      </c>
      <c r="E120" s="74" t="s">
        <v>16</v>
      </c>
      <c r="F120" s="74"/>
      <c r="G120" s="75">
        <v>600</v>
      </c>
      <c r="O120" s="80"/>
    </row>
    <row r="121" customHeight="1" spans="1:15">
      <c r="A121" s="73" t="str">
        <f t="shared" si="1"/>
        <v>红米note13PRO默认</v>
      </c>
      <c r="B121" s="74" t="s">
        <v>23</v>
      </c>
      <c r="C121" s="74" t="s">
        <v>140</v>
      </c>
      <c r="D121" s="74" t="s">
        <v>177</v>
      </c>
      <c r="E121" s="74" t="s">
        <v>16</v>
      </c>
      <c r="F121" s="74"/>
      <c r="G121" s="75" t="s">
        <v>17</v>
      </c>
      <c r="O121" s="80"/>
    </row>
    <row r="122" customHeight="1" spans="1:15">
      <c r="A122" s="73" t="str">
        <f t="shared" si="1"/>
        <v>红米note14默认</v>
      </c>
      <c r="B122" s="74" t="s">
        <v>23</v>
      </c>
      <c r="C122" s="74" t="s">
        <v>140</v>
      </c>
      <c r="D122" s="74" t="s">
        <v>178</v>
      </c>
      <c r="E122" s="74" t="s">
        <v>16</v>
      </c>
      <c r="F122" s="74"/>
      <c r="G122" s="75" t="s">
        <v>17</v>
      </c>
      <c r="O122" s="80"/>
    </row>
    <row r="123" customHeight="1" spans="1:15">
      <c r="A123" s="73" t="str">
        <f t="shared" si="1"/>
        <v>红米note14PRO默认</v>
      </c>
      <c r="B123" s="74" t="s">
        <v>23</v>
      </c>
      <c r="C123" s="74" t="s">
        <v>140</v>
      </c>
      <c r="D123" s="74" t="s">
        <v>179</v>
      </c>
      <c r="E123" s="74" t="s">
        <v>16</v>
      </c>
      <c r="F123" s="74"/>
      <c r="G123" s="75" t="s">
        <v>17</v>
      </c>
      <c r="O123" s="80"/>
    </row>
    <row r="124" customHeight="1" spans="1:15">
      <c r="A124" s="73" t="str">
        <f t="shared" si="1"/>
        <v>红米note5默认</v>
      </c>
      <c r="B124" s="74" t="s">
        <v>23</v>
      </c>
      <c r="C124" s="74" t="s">
        <v>140</v>
      </c>
      <c r="D124" s="74" t="s">
        <v>180</v>
      </c>
      <c r="E124" s="74" t="s">
        <v>16</v>
      </c>
      <c r="F124" s="74"/>
      <c r="G124" s="75" t="s">
        <v>17</v>
      </c>
      <c r="O124" s="80"/>
    </row>
    <row r="125" customHeight="1" spans="1:15">
      <c r="A125" s="73" t="str">
        <f t="shared" si="1"/>
        <v>红米note7默认</v>
      </c>
      <c r="B125" s="74" t="s">
        <v>23</v>
      </c>
      <c r="C125" s="74" t="s">
        <v>140</v>
      </c>
      <c r="D125" s="74" t="s">
        <v>181</v>
      </c>
      <c r="E125" s="74" t="s">
        <v>16</v>
      </c>
      <c r="F125" s="74"/>
      <c r="G125" s="75" t="s">
        <v>17</v>
      </c>
      <c r="O125" s="80"/>
    </row>
    <row r="126" customHeight="1" spans="1:15">
      <c r="A126" s="73" t="str">
        <f t="shared" si="1"/>
        <v>红米note7PRO默认</v>
      </c>
      <c r="B126" s="74" t="s">
        <v>23</v>
      </c>
      <c r="C126" s="74" t="s">
        <v>140</v>
      </c>
      <c r="D126" s="74" t="s">
        <v>182</v>
      </c>
      <c r="E126" s="74" t="s">
        <v>16</v>
      </c>
      <c r="F126" s="74"/>
      <c r="G126" s="75">
        <v>240</v>
      </c>
      <c r="O126" s="80"/>
    </row>
    <row r="127" customHeight="1" spans="1:15">
      <c r="A127" s="73" t="str">
        <f t="shared" si="1"/>
        <v>红米note7PRO解BL默认</v>
      </c>
      <c r="B127" s="74" t="s">
        <v>23</v>
      </c>
      <c r="C127" s="74" t="s">
        <v>140</v>
      </c>
      <c r="D127" s="74" t="s">
        <v>183</v>
      </c>
      <c r="E127" s="74" t="s">
        <v>16</v>
      </c>
      <c r="F127" s="74"/>
      <c r="G127" s="75">
        <v>240</v>
      </c>
      <c r="O127" s="80"/>
    </row>
    <row r="128" customHeight="1" spans="1:15">
      <c r="A128" s="73" t="str">
        <f t="shared" si="1"/>
        <v>红米note7解BL默认</v>
      </c>
      <c r="B128" s="74" t="s">
        <v>23</v>
      </c>
      <c r="C128" s="74" t="s">
        <v>140</v>
      </c>
      <c r="D128" s="74" t="s">
        <v>184</v>
      </c>
      <c r="E128" s="74" t="s">
        <v>16</v>
      </c>
      <c r="F128" s="74"/>
      <c r="G128" s="75" t="s">
        <v>17</v>
      </c>
      <c r="O128" s="80"/>
    </row>
    <row r="129" customHeight="1" spans="1:15">
      <c r="A129" s="73" t="str">
        <f t="shared" si="1"/>
        <v>红米note8默认</v>
      </c>
      <c r="B129" s="74" t="s">
        <v>23</v>
      </c>
      <c r="C129" s="74" t="s">
        <v>140</v>
      </c>
      <c r="D129" s="74" t="s">
        <v>185</v>
      </c>
      <c r="E129" s="74" t="s">
        <v>16</v>
      </c>
      <c r="F129" s="74"/>
      <c r="G129" s="75">
        <v>280</v>
      </c>
      <c r="O129" s="80"/>
    </row>
    <row r="130" customHeight="1" spans="1:15">
      <c r="A130" s="73" t="str">
        <f t="shared" si="1"/>
        <v>红米note8PRO默认</v>
      </c>
      <c r="B130" s="74" t="s">
        <v>23</v>
      </c>
      <c r="C130" s="74" t="s">
        <v>140</v>
      </c>
      <c r="D130" s="74" t="s">
        <v>186</v>
      </c>
      <c r="E130" s="74" t="s">
        <v>16</v>
      </c>
      <c r="F130" s="74"/>
      <c r="G130" s="75">
        <v>300</v>
      </c>
      <c r="O130" s="80"/>
    </row>
    <row r="131" customHeight="1" spans="1:15">
      <c r="A131" s="73" t="str">
        <f t="shared" ref="A131:A194" si="2">D131&amp;E131</f>
        <v>红米note8PRO解BL默认</v>
      </c>
      <c r="B131" s="74" t="s">
        <v>23</v>
      </c>
      <c r="C131" s="74" t="s">
        <v>140</v>
      </c>
      <c r="D131" s="74" t="s">
        <v>187</v>
      </c>
      <c r="E131" s="74" t="s">
        <v>16</v>
      </c>
      <c r="F131" s="74"/>
      <c r="G131" s="75">
        <v>300</v>
      </c>
      <c r="O131" s="80"/>
    </row>
    <row r="132" customHeight="1" spans="1:15">
      <c r="A132" s="73" t="str">
        <f t="shared" si="2"/>
        <v>红米note8解BL默认</v>
      </c>
      <c r="B132" s="74" t="s">
        <v>23</v>
      </c>
      <c r="C132" s="74" t="s">
        <v>140</v>
      </c>
      <c r="D132" s="74" t="s">
        <v>188</v>
      </c>
      <c r="E132" s="74" t="s">
        <v>16</v>
      </c>
      <c r="F132" s="74"/>
      <c r="G132" s="75">
        <v>280</v>
      </c>
      <c r="O132" s="80"/>
    </row>
    <row r="133" customHeight="1" spans="1:15">
      <c r="A133" s="73" t="str">
        <f t="shared" si="2"/>
        <v>红米note9 4G默认</v>
      </c>
      <c r="B133" s="74" t="s">
        <v>23</v>
      </c>
      <c r="C133" s="74" t="s">
        <v>140</v>
      </c>
      <c r="D133" s="74" t="s">
        <v>189</v>
      </c>
      <c r="E133" s="74" t="s">
        <v>16</v>
      </c>
      <c r="F133" s="74"/>
      <c r="G133" s="75">
        <v>280</v>
      </c>
      <c r="O133" s="80"/>
    </row>
    <row r="134" customHeight="1" spans="1:15">
      <c r="A134" s="73" t="str">
        <f t="shared" si="2"/>
        <v>红米note9 5G默认</v>
      </c>
      <c r="B134" s="74" t="s">
        <v>23</v>
      </c>
      <c r="C134" s="74" t="s">
        <v>140</v>
      </c>
      <c r="D134" s="74" t="s">
        <v>190</v>
      </c>
      <c r="E134" s="74" t="s">
        <v>16</v>
      </c>
      <c r="F134" s="74"/>
      <c r="G134" s="75">
        <v>300</v>
      </c>
      <c r="O134" s="80"/>
    </row>
    <row r="135" customHeight="1" spans="1:15">
      <c r="A135" s="73" t="str">
        <f t="shared" si="2"/>
        <v>红米note94G解BL默认</v>
      </c>
      <c r="B135" s="74" t="s">
        <v>23</v>
      </c>
      <c r="C135" s="74" t="s">
        <v>140</v>
      </c>
      <c r="D135" s="74" t="s">
        <v>191</v>
      </c>
      <c r="E135" s="74" t="s">
        <v>16</v>
      </c>
      <c r="F135" s="74"/>
      <c r="G135" s="75">
        <v>280</v>
      </c>
      <c r="O135" s="80"/>
    </row>
    <row r="136" customHeight="1" spans="1:15">
      <c r="A136" s="73" t="str">
        <f t="shared" si="2"/>
        <v>红米note95G解BL默认</v>
      </c>
      <c r="B136" s="74" t="s">
        <v>23</v>
      </c>
      <c r="C136" s="74" t="s">
        <v>140</v>
      </c>
      <c r="D136" s="74" t="s">
        <v>192</v>
      </c>
      <c r="E136" s="74" t="s">
        <v>16</v>
      </c>
      <c r="F136" s="74"/>
      <c r="G136" s="75">
        <v>300</v>
      </c>
      <c r="O136" s="80"/>
    </row>
    <row r="137" customHeight="1" spans="1:15">
      <c r="A137" s="73" t="str">
        <f t="shared" si="2"/>
        <v>红米note9PRO默认</v>
      </c>
      <c r="B137" s="74" t="s">
        <v>23</v>
      </c>
      <c r="C137" s="74" t="s">
        <v>140</v>
      </c>
      <c r="D137" s="74" t="s">
        <v>193</v>
      </c>
      <c r="E137" s="74" t="s">
        <v>16</v>
      </c>
      <c r="F137" s="74"/>
      <c r="G137" s="75">
        <v>320</v>
      </c>
      <c r="O137" s="80"/>
    </row>
    <row r="138" customHeight="1" spans="1:15">
      <c r="A138" s="73" t="str">
        <f t="shared" si="2"/>
        <v>红米note9PRO解BL默认</v>
      </c>
      <c r="B138" s="74" t="s">
        <v>23</v>
      </c>
      <c r="C138" s="74" t="s">
        <v>140</v>
      </c>
      <c r="D138" s="74" t="s">
        <v>194</v>
      </c>
      <c r="E138" s="74" t="s">
        <v>16</v>
      </c>
      <c r="F138" s="74"/>
      <c r="G138" s="75">
        <v>320</v>
      </c>
      <c r="O138" s="80"/>
    </row>
    <row r="139" customHeight="1" spans="1:15">
      <c r="A139" s="73" t="str">
        <f t="shared" si="2"/>
        <v>红米note9解BL默认</v>
      </c>
      <c r="B139" s="74" t="s">
        <v>23</v>
      </c>
      <c r="C139" s="74" t="s">
        <v>140</v>
      </c>
      <c r="D139" s="74" t="s">
        <v>195</v>
      </c>
      <c r="E139" s="74" t="s">
        <v>16</v>
      </c>
      <c r="F139" s="74"/>
      <c r="G139" s="75">
        <v>280</v>
      </c>
      <c r="O139" s="80"/>
    </row>
    <row r="140" customHeight="1" spans="1:15">
      <c r="A140" s="73" t="str">
        <f t="shared" si="2"/>
        <v>红米Turbo3默认</v>
      </c>
      <c r="B140" s="74" t="s">
        <v>23</v>
      </c>
      <c r="C140" s="74" t="s">
        <v>140</v>
      </c>
      <c r="D140" s="74" t="s">
        <v>196</v>
      </c>
      <c r="E140" s="74" t="s">
        <v>16</v>
      </c>
      <c r="F140" s="74"/>
      <c r="G140" s="75">
        <v>800</v>
      </c>
      <c r="O140" s="80"/>
    </row>
    <row r="141" customHeight="1" spans="1:15">
      <c r="A141" s="73" t="str">
        <f t="shared" si="2"/>
        <v>红米Turbo4默认</v>
      </c>
      <c r="B141" s="74" t="s">
        <v>23</v>
      </c>
      <c r="C141" s="74" t="s">
        <v>140</v>
      </c>
      <c r="D141" s="74" t="s">
        <v>197</v>
      </c>
      <c r="E141" s="74" t="s">
        <v>16</v>
      </c>
      <c r="F141" s="74"/>
      <c r="G141" s="75">
        <v>900</v>
      </c>
      <c r="O141" s="80"/>
    </row>
    <row r="142" customHeight="1" spans="1:15">
      <c r="A142" s="73" t="str">
        <f t="shared" si="2"/>
        <v>华为Davinci默认</v>
      </c>
      <c r="B142" s="74" t="s">
        <v>23</v>
      </c>
      <c r="C142" s="74" t="s">
        <v>198</v>
      </c>
      <c r="D142" s="74" t="s">
        <v>199</v>
      </c>
      <c r="E142" s="74" t="s">
        <v>16</v>
      </c>
      <c r="F142" s="74"/>
      <c r="G142" s="75" t="s">
        <v>17</v>
      </c>
      <c r="O142" s="80"/>
    </row>
    <row r="143" customHeight="1" spans="1:15">
      <c r="A143" s="73" t="str">
        <f t="shared" si="2"/>
        <v>华为mate10默认</v>
      </c>
      <c r="B143" s="74" t="s">
        <v>23</v>
      </c>
      <c r="C143" s="74" t="s">
        <v>198</v>
      </c>
      <c r="D143" s="74" t="s">
        <v>200</v>
      </c>
      <c r="E143" s="74" t="s">
        <v>16</v>
      </c>
      <c r="F143" s="74"/>
      <c r="G143" s="75" t="s">
        <v>17</v>
      </c>
      <c r="O143" s="80"/>
    </row>
    <row r="144" customHeight="1" spans="1:15">
      <c r="A144" s="73" t="str">
        <f t="shared" si="2"/>
        <v>华为mate10pro默认</v>
      </c>
      <c r="B144" s="74" t="s">
        <v>23</v>
      </c>
      <c r="C144" s="74" t="s">
        <v>198</v>
      </c>
      <c r="D144" s="74" t="s">
        <v>201</v>
      </c>
      <c r="E144" s="74" t="s">
        <v>16</v>
      </c>
      <c r="F144" s="74"/>
      <c r="G144" s="75" t="s">
        <v>17</v>
      </c>
      <c r="O144" s="80"/>
    </row>
    <row r="145" customHeight="1" spans="1:15">
      <c r="A145" s="73" t="str">
        <f t="shared" si="2"/>
        <v>华为mate20默认</v>
      </c>
      <c r="B145" s="74" t="s">
        <v>23</v>
      </c>
      <c r="C145" s="74" t="s">
        <v>198</v>
      </c>
      <c r="D145" s="74" t="s">
        <v>202</v>
      </c>
      <c r="E145" s="74" t="s">
        <v>16</v>
      </c>
      <c r="F145" s="74"/>
      <c r="G145" s="75">
        <v>240</v>
      </c>
      <c r="O145" s="80"/>
    </row>
    <row r="146" customHeight="1" spans="1:15">
      <c r="A146" s="73" t="str">
        <f t="shared" si="2"/>
        <v>华为mate30256G</v>
      </c>
      <c r="B146" s="74" t="s">
        <v>23</v>
      </c>
      <c r="C146" s="74" t="s">
        <v>198</v>
      </c>
      <c r="D146" s="74" t="s">
        <v>203</v>
      </c>
      <c r="E146" s="74" t="s">
        <v>105</v>
      </c>
      <c r="F146" s="74"/>
      <c r="G146" s="75">
        <v>340</v>
      </c>
      <c r="O146" s="80"/>
    </row>
    <row r="147" customHeight="1" spans="1:15">
      <c r="A147" s="73" t="str">
        <f t="shared" si="2"/>
        <v>华为mate304G</v>
      </c>
      <c r="B147" s="74" t="s">
        <v>23</v>
      </c>
      <c r="C147" s="74" t="s">
        <v>198</v>
      </c>
      <c r="D147" s="74" t="s">
        <v>203</v>
      </c>
      <c r="E147" s="74" t="s">
        <v>42</v>
      </c>
      <c r="F147" s="74"/>
      <c r="G147" s="75">
        <v>280</v>
      </c>
      <c r="O147" s="80"/>
    </row>
    <row r="148" customHeight="1" spans="1:15">
      <c r="A148" s="73" t="str">
        <f t="shared" si="2"/>
        <v>华为mate305G</v>
      </c>
      <c r="B148" s="74" t="s">
        <v>23</v>
      </c>
      <c r="C148" s="74" t="s">
        <v>198</v>
      </c>
      <c r="D148" s="74" t="s">
        <v>203</v>
      </c>
      <c r="E148" s="74" t="s">
        <v>46</v>
      </c>
      <c r="F148" s="74"/>
      <c r="G148" s="75">
        <v>320</v>
      </c>
      <c r="O148" s="80"/>
    </row>
    <row r="149" customHeight="1" spans="1:15">
      <c r="A149" s="73" t="str">
        <f t="shared" si="2"/>
        <v>华为mate30默认</v>
      </c>
      <c r="B149" s="74" t="s">
        <v>23</v>
      </c>
      <c r="C149" s="74" t="s">
        <v>198</v>
      </c>
      <c r="D149" s="74" t="s">
        <v>203</v>
      </c>
      <c r="E149" s="74" t="s">
        <v>16</v>
      </c>
      <c r="F149" s="74"/>
      <c r="G149" s="75">
        <v>280</v>
      </c>
      <c r="O149" s="80"/>
    </row>
    <row r="150" customHeight="1" spans="1:15">
      <c r="A150" s="73" t="str">
        <f t="shared" si="2"/>
        <v>G华为mate304G</v>
      </c>
      <c r="B150" s="74" t="s">
        <v>23</v>
      </c>
      <c r="C150" s="74" t="s">
        <v>198</v>
      </c>
      <c r="D150" s="74" t="s">
        <v>204</v>
      </c>
      <c r="E150" s="74" t="s">
        <v>42</v>
      </c>
      <c r="F150" s="74"/>
      <c r="G150" s="75" t="s">
        <v>17</v>
      </c>
      <c r="O150" s="80"/>
    </row>
    <row r="151" customHeight="1" spans="1:15">
      <c r="A151" s="73" t="str">
        <f t="shared" si="2"/>
        <v>G华为mate305G</v>
      </c>
      <c r="B151" s="74" t="s">
        <v>23</v>
      </c>
      <c r="C151" s="74" t="s">
        <v>198</v>
      </c>
      <c r="D151" s="74" t="s">
        <v>204</v>
      </c>
      <c r="E151" s="74" t="s">
        <v>46</v>
      </c>
      <c r="F151" s="74"/>
      <c r="G151" s="75" t="s">
        <v>17</v>
      </c>
      <c r="O151" s="80"/>
    </row>
    <row r="152" customHeight="1" spans="1:15">
      <c r="A152" s="73" t="str">
        <f t="shared" si="2"/>
        <v>G华为mate30默认</v>
      </c>
      <c r="B152" s="74" t="s">
        <v>23</v>
      </c>
      <c r="C152" s="74" t="s">
        <v>198</v>
      </c>
      <c r="D152" s="74" t="s">
        <v>204</v>
      </c>
      <c r="E152" s="74" t="s">
        <v>16</v>
      </c>
      <c r="F152" s="74"/>
      <c r="G152" s="75" t="s">
        <v>17</v>
      </c>
      <c r="O152" s="80"/>
    </row>
    <row r="153" customHeight="1" spans="1:15">
      <c r="A153" s="73" t="str">
        <f t="shared" si="2"/>
        <v>华为mate30PRO默认</v>
      </c>
      <c r="B153" s="74" t="s">
        <v>23</v>
      </c>
      <c r="C153" s="74" t="s">
        <v>198</v>
      </c>
      <c r="D153" s="74" t="s">
        <v>205</v>
      </c>
      <c r="E153" s="74" t="s">
        <v>16</v>
      </c>
      <c r="F153" s="74"/>
      <c r="G153" s="75">
        <v>300</v>
      </c>
      <c r="O153" s="80"/>
    </row>
    <row r="154" customHeight="1" spans="1:15">
      <c r="A154" s="73" t="str">
        <f t="shared" si="2"/>
        <v>华为mate40默认</v>
      </c>
      <c r="B154" s="74" t="s">
        <v>23</v>
      </c>
      <c r="C154" s="74" t="s">
        <v>198</v>
      </c>
      <c r="D154" s="74" t="s">
        <v>206</v>
      </c>
      <c r="E154" s="74" t="s">
        <v>16</v>
      </c>
      <c r="F154" s="74"/>
      <c r="G154" s="75">
        <v>600</v>
      </c>
      <c r="O154" s="80"/>
    </row>
    <row r="155" customHeight="1" spans="1:15">
      <c r="A155" s="73" t="str">
        <f t="shared" si="2"/>
        <v>华为mate40pro默认</v>
      </c>
      <c r="B155" s="74" t="s">
        <v>23</v>
      </c>
      <c r="C155" s="74" t="s">
        <v>198</v>
      </c>
      <c r="D155" s="74" t="s">
        <v>207</v>
      </c>
      <c r="E155" s="74" t="s">
        <v>16</v>
      </c>
      <c r="F155" s="74"/>
      <c r="G155" s="75">
        <v>700</v>
      </c>
      <c r="O155" s="80"/>
    </row>
    <row r="156" customHeight="1" spans="1:15">
      <c r="A156" s="73" t="str">
        <f t="shared" si="2"/>
        <v>华为Mate8默认</v>
      </c>
      <c r="B156" s="74" t="s">
        <v>23</v>
      </c>
      <c r="C156" s="74" t="s">
        <v>198</v>
      </c>
      <c r="D156" s="74" t="s">
        <v>208</v>
      </c>
      <c r="E156" s="74" t="s">
        <v>16</v>
      </c>
      <c r="F156" s="74"/>
      <c r="G156" s="75" t="s">
        <v>17</v>
      </c>
      <c r="O156" s="80"/>
    </row>
    <row r="157" customHeight="1" spans="1:15">
      <c r="A157" s="73" t="str">
        <f t="shared" si="2"/>
        <v>华为Mate9默认</v>
      </c>
      <c r="B157" s="74" t="s">
        <v>23</v>
      </c>
      <c r="C157" s="74" t="s">
        <v>198</v>
      </c>
      <c r="D157" s="74" t="s">
        <v>209</v>
      </c>
      <c r="E157" s="74" t="s">
        <v>16</v>
      </c>
      <c r="F157" s="74"/>
      <c r="G157" s="75" t="s">
        <v>17</v>
      </c>
      <c r="O157" s="80"/>
    </row>
    <row r="158" customHeight="1" spans="1:15">
      <c r="A158" s="73" t="str">
        <f t="shared" si="2"/>
        <v>华为matePad默认</v>
      </c>
      <c r="B158" s="74" t="s">
        <v>23</v>
      </c>
      <c r="C158" s="74" t="s">
        <v>198</v>
      </c>
      <c r="D158" s="74" t="s">
        <v>210</v>
      </c>
      <c r="E158" s="74" t="s">
        <v>16</v>
      </c>
      <c r="F158" s="74"/>
      <c r="G158" s="75" t="s">
        <v>17</v>
      </c>
      <c r="O158" s="80"/>
    </row>
    <row r="159" customHeight="1" spans="1:15">
      <c r="A159" s="73" t="str">
        <f t="shared" si="2"/>
        <v>华为nova10PRO默认</v>
      </c>
      <c r="B159" s="74" t="s">
        <v>23</v>
      </c>
      <c r="C159" s="74" t="s">
        <v>198</v>
      </c>
      <c r="D159" s="74" t="s">
        <v>211</v>
      </c>
      <c r="E159" s="74" t="s">
        <v>16</v>
      </c>
      <c r="F159" s="74"/>
      <c r="G159" s="75"/>
      <c r="O159" s="80"/>
    </row>
    <row r="160" customHeight="1" spans="1:15">
      <c r="A160" s="73" t="str">
        <f t="shared" si="2"/>
        <v>华为nova10SE默认</v>
      </c>
      <c r="B160" s="74" t="s">
        <v>23</v>
      </c>
      <c r="C160" s="74" t="s">
        <v>198</v>
      </c>
      <c r="D160" s="74" t="s">
        <v>212</v>
      </c>
      <c r="E160" s="74" t="s">
        <v>16</v>
      </c>
      <c r="F160" s="74"/>
      <c r="G160" s="75" t="s">
        <v>17</v>
      </c>
      <c r="O160" s="80"/>
    </row>
    <row r="161" customHeight="1" spans="1:15">
      <c r="A161" s="73" t="str">
        <f t="shared" si="2"/>
        <v>华为nova12默认</v>
      </c>
      <c r="B161" s="74" t="s">
        <v>23</v>
      </c>
      <c r="C161" s="74" t="s">
        <v>198</v>
      </c>
      <c r="D161" s="74" t="s">
        <v>213</v>
      </c>
      <c r="E161" s="74" t="s">
        <v>16</v>
      </c>
      <c r="F161" s="74"/>
      <c r="G161" s="75">
        <v>600</v>
      </c>
      <c r="O161" s="80"/>
    </row>
    <row r="162" customHeight="1" spans="1:15">
      <c r="A162" s="73" t="str">
        <f t="shared" si="2"/>
        <v>华为nova13默认</v>
      </c>
      <c r="B162" s="74" t="s">
        <v>23</v>
      </c>
      <c r="C162" s="74" t="s">
        <v>198</v>
      </c>
      <c r="D162" s="74" t="s">
        <v>214</v>
      </c>
      <c r="E162" s="74" t="s">
        <v>16</v>
      </c>
      <c r="F162" s="74"/>
      <c r="G162" s="75">
        <v>800</v>
      </c>
      <c r="O162" s="80"/>
    </row>
    <row r="163" customHeight="1" spans="1:15">
      <c r="A163" s="73" t="str">
        <f t="shared" si="2"/>
        <v>华为nova13PRO默认</v>
      </c>
      <c r="B163" s="74" t="s">
        <v>23</v>
      </c>
      <c r="C163" s="74" t="s">
        <v>198</v>
      </c>
      <c r="D163" s="74" t="s">
        <v>215</v>
      </c>
      <c r="E163" s="74" t="s">
        <v>16</v>
      </c>
      <c r="F163" s="74"/>
      <c r="G163" s="75" t="s">
        <v>17</v>
      </c>
      <c r="O163" s="80"/>
    </row>
    <row r="164" customHeight="1" spans="1:15">
      <c r="A164" s="73" t="str">
        <f t="shared" si="2"/>
        <v>华为nova2s默认</v>
      </c>
      <c r="B164" s="74" t="s">
        <v>23</v>
      </c>
      <c r="C164" s="74" t="s">
        <v>198</v>
      </c>
      <c r="D164" s="74" t="s">
        <v>216</v>
      </c>
      <c r="E164" s="74" t="s">
        <v>16</v>
      </c>
      <c r="F164" s="74"/>
      <c r="G164" s="75" t="s">
        <v>17</v>
      </c>
      <c r="O164" s="80"/>
    </row>
    <row r="165" customHeight="1" spans="1:15">
      <c r="A165" s="73" t="str">
        <f t="shared" si="2"/>
        <v>华为nova3默认</v>
      </c>
      <c r="B165" s="74" t="s">
        <v>23</v>
      </c>
      <c r="C165" s="74" t="s">
        <v>198</v>
      </c>
      <c r="D165" s="74" t="s">
        <v>217</v>
      </c>
      <c r="E165" s="74" t="s">
        <v>16</v>
      </c>
      <c r="F165" s="74"/>
      <c r="G165" s="75" t="s">
        <v>17</v>
      </c>
      <c r="O165" s="80"/>
    </row>
    <row r="166" customHeight="1" spans="1:15">
      <c r="A166" s="73" t="str">
        <f t="shared" si="2"/>
        <v>华为nova4默认</v>
      </c>
      <c r="B166" s="74" t="s">
        <v>23</v>
      </c>
      <c r="C166" s="74" t="s">
        <v>198</v>
      </c>
      <c r="D166" s="74" t="s">
        <v>218</v>
      </c>
      <c r="E166" s="74" t="s">
        <v>16</v>
      </c>
      <c r="F166" s="74"/>
      <c r="G166" s="75">
        <v>280</v>
      </c>
      <c r="O166" s="80"/>
    </row>
    <row r="167" customHeight="1" spans="1:15">
      <c r="A167" s="73" t="str">
        <f t="shared" si="2"/>
        <v>华为nova5PRO默认</v>
      </c>
      <c r="B167" s="74" t="s">
        <v>23</v>
      </c>
      <c r="C167" s="74" t="s">
        <v>198</v>
      </c>
      <c r="D167" s="74" t="s">
        <v>219</v>
      </c>
      <c r="E167" s="74" t="s">
        <v>16</v>
      </c>
      <c r="F167" s="74"/>
      <c r="G167" s="75">
        <v>280</v>
      </c>
      <c r="O167" s="80"/>
    </row>
    <row r="168" customHeight="1" spans="1:15">
      <c r="A168" s="73" t="str">
        <f t="shared" si="2"/>
        <v>G华为nova5PRO默认</v>
      </c>
      <c r="B168" s="74" t="s">
        <v>23</v>
      </c>
      <c r="C168" s="74" t="s">
        <v>198</v>
      </c>
      <c r="D168" s="74" t="s">
        <v>220</v>
      </c>
      <c r="E168" s="74" t="s">
        <v>16</v>
      </c>
      <c r="F168" s="74"/>
      <c r="G168" s="75">
        <v>230</v>
      </c>
      <c r="O168" s="80"/>
    </row>
    <row r="169" customHeight="1" spans="1:15">
      <c r="A169" s="73" t="str">
        <f t="shared" si="2"/>
        <v>华为nova6默认</v>
      </c>
      <c r="B169" s="74" t="s">
        <v>23</v>
      </c>
      <c r="C169" s="74" t="s">
        <v>198</v>
      </c>
      <c r="D169" s="74" t="s">
        <v>221</v>
      </c>
      <c r="E169" s="74" t="s">
        <v>16</v>
      </c>
      <c r="F169" s="74"/>
      <c r="G169" s="75">
        <v>370</v>
      </c>
      <c r="O169" s="80"/>
    </row>
    <row r="170" customHeight="1" spans="1:15">
      <c r="A170" s="73" t="str">
        <f t="shared" si="2"/>
        <v>G华为nova6默认</v>
      </c>
      <c r="B170" s="74" t="s">
        <v>23</v>
      </c>
      <c r="C170" s="74" t="s">
        <v>198</v>
      </c>
      <c r="D170" s="74" t="s">
        <v>222</v>
      </c>
      <c r="E170" s="74" t="s">
        <v>16</v>
      </c>
      <c r="F170" s="74"/>
      <c r="G170" s="75">
        <v>300</v>
      </c>
      <c r="O170" s="80"/>
    </row>
    <row r="171" customHeight="1" spans="1:15">
      <c r="A171" s="73" t="str">
        <f t="shared" si="2"/>
        <v>华为nova6se默认</v>
      </c>
      <c r="B171" s="74" t="s">
        <v>23</v>
      </c>
      <c r="C171" s="74" t="s">
        <v>198</v>
      </c>
      <c r="D171" s="74" t="s">
        <v>223</v>
      </c>
      <c r="E171" s="74" t="s">
        <v>16</v>
      </c>
      <c r="F171" s="74"/>
      <c r="G171" s="75">
        <v>280</v>
      </c>
      <c r="O171" s="80"/>
    </row>
    <row r="172" customHeight="1" spans="1:15">
      <c r="A172" s="73" t="str">
        <f t="shared" si="2"/>
        <v>G华为nova6se默认</v>
      </c>
      <c r="B172" s="74" t="s">
        <v>23</v>
      </c>
      <c r="C172" s="74" t="s">
        <v>198</v>
      </c>
      <c r="D172" s="74" t="s">
        <v>224</v>
      </c>
      <c r="E172" s="74" t="s">
        <v>16</v>
      </c>
      <c r="F172" s="74"/>
      <c r="G172" s="75" t="s">
        <v>17</v>
      </c>
      <c r="O172" s="80"/>
    </row>
    <row r="173" customHeight="1" spans="1:15">
      <c r="A173" s="73" t="str">
        <f t="shared" si="2"/>
        <v>华为nova7默认</v>
      </c>
      <c r="B173" s="74" t="s">
        <v>23</v>
      </c>
      <c r="C173" s="74" t="s">
        <v>198</v>
      </c>
      <c r="D173" s="74" t="s">
        <v>225</v>
      </c>
      <c r="E173" s="74" t="s">
        <v>16</v>
      </c>
      <c r="F173" s="74"/>
      <c r="G173" s="75">
        <v>420</v>
      </c>
      <c r="O173" s="80"/>
    </row>
    <row r="174" customHeight="1" spans="1:15">
      <c r="A174" s="73" t="str">
        <f t="shared" si="2"/>
        <v>G华为nova7默认</v>
      </c>
      <c r="B174" s="74" t="s">
        <v>23</v>
      </c>
      <c r="C174" s="74" t="s">
        <v>198</v>
      </c>
      <c r="D174" s="74" t="s">
        <v>226</v>
      </c>
      <c r="E174" s="74" t="s">
        <v>16</v>
      </c>
      <c r="F174" s="74"/>
      <c r="G174" s="75">
        <v>340</v>
      </c>
      <c r="O174" s="80"/>
    </row>
    <row r="175" customHeight="1" spans="1:15">
      <c r="A175" s="73" t="str">
        <f t="shared" si="2"/>
        <v>华为nova7SE默认</v>
      </c>
      <c r="B175" s="74" t="s">
        <v>23</v>
      </c>
      <c r="C175" s="74" t="s">
        <v>198</v>
      </c>
      <c r="D175" s="74" t="s">
        <v>227</v>
      </c>
      <c r="E175" s="74" t="s">
        <v>16</v>
      </c>
      <c r="F175" s="74"/>
      <c r="G175" s="75">
        <v>280</v>
      </c>
      <c r="O175" s="80"/>
    </row>
    <row r="176" customHeight="1" spans="1:15">
      <c r="A176" s="73" t="str">
        <f t="shared" si="2"/>
        <v>华为nova8默认</v>
      </c>
      <c r="B176" s="74" t="s">
        <v>23</v>
      </c>
      <c r="C176" s="74" t="s">
        <v>198</v>
      </c>
      <c r="D176" s="74" t="s">
        <v>228</v>
      </c>
      <c r="E176" s="74" t="s">
        <v>16</v>
      </c>
      <c r="F176" s="74"/>
      <c r="G176" s="75">
        <v>480</v>
      </c>
      <c r="O176" s="80"/>
    </row>
    <row r="177" customHeight="1" spans="1:15">
      <c r="A177" s="73" t="str">
        <f t="shared" si="2"/>
        <v>华为nova9默认</v>
      </c>
      <c r="B177" s="74" t="s">
        <v>23</v>
      </c>
      <c r="C177" s="74" t="s">
        <v>198</v>
      </c>
      <c r="D177" s="74" t="s">
        <v>229</v>
      </c>
      <c r="E177" s="74" t="s">
        <v>16</v>
      </c>
      <c r="F177" s="74"/>
      <c r="G177" s="75">
        <v>450</v>
      </c>
      <c r="O177" s="80"/>
    </row>
    <row r="178" customHeight="1" spans="1:15">
      <c r="A178" s="73" t="str">
        <f t="shared" si="2"/>
        <v>华为nova9PRO默认</v>
      </c>
      <c r="B178" s="74" t="s">
        <v>23</v>
      </c>
      <c r="C178" s="74" t="s">
        <v>198</v>
      </c>
      <c r="D178" s="74" t="s">
        <v>230</v>
      </c>
      <c r="E178" s="74" t="s">
        <v>16</v>
      </c>
      <c r="F178" s="74"/>
      <c r="G178" s="75">
        <v>450</v>
      </c>
      <c r="O178" s="80"/>
    </row>
    <row r="179" customHeight="1" spans="1:15">
      <c r="A179" s="73" t="str">
        <f t="shared" si="2"/>
        <v>华为P20256G</v>
      </c>
      <c r="B179" s="74" t="s">
        <v>23</v>
      </c>
      <c r="C179" s="74" t="s">
        <v>198</v>
      </c>
      <c r="D179" s="74" t="s">
        <v>231</v>
      </c>
      <c r="E179" s="74" t="s">
        <v>105</v>
      </c>
      <c r="F179" s="74"/>
      <c r="G179" s="75" t="s">
        <v>17</v>
      </c>
      <c r="O179" s="80"/>
    </row>
    <row r="180" customHeight="1" spans="1:15">
      <c r="A180" s="73" t="str">
        <f t="shared" si="2"/>
        <v>华为P20默认</v>
      </c>
      <c r="B180" s="74" t="s">
        <v>23</v>
      </c>
      <c r="C180" s="74" t="s">
        <v>198</v>
      </c>
      <c r="D180" s="74" t="s">
        <v>231</v>
      </c>
      <c r="E180" s="74" t="s">
        <v>16</v>
      </c>
      <c r="F180" s="74"/>
      <c r="G180" s="75">
        <v>180</v>
      </c>
      <c r="O180" s="80"/>
    </row>
    <row r="181" customHeight="1" spans="1:15">
      <c r="A181" s="73" t="str">
        <f t="shared" si="2"/>
        <v>华为P20PRO默认</v>
      </c>
      <c r="B181" s="74" t="s">
        <v>23</v>
      </c>
      <c r="C181" s="74" t="s">
        <v>198</v>
      </c>
      <c r="D181" s="74" t="s">
        <v>232</v>
      </c>
      <c r="E181" s="74" t="s">
        <v>16</v>
      </c>
      <c r="F181" s="74"/>
      <c r="G181" s="75">
        <v>180</v>
      </c>
      <c r="O181" s="80"/>
    </row>
    <row r="182" customHeight="1" spans="1:15">
      <c r="A182" s="73" t="str">
        <f t="shared" si="2"/>
        <v>华为P30默认</v>
      </c>
      <c r="B182" s="74" t="s">
        <v>23</v>
      </c>
      <c r="C182" s="74" t="s">
        <v>198</v>
      </c>
      <c r="D182" s="74" t="s">
        <v>233</v>
      </c>
      <c r="E182" s="74" t="s">
        <v>16</v>
      </c>
      <c r="F182" s="74"/>
      <c r="G182" s="75">
        <v>290</v>
      </c>
      <c r="O182" s="80"/>
    </row>
    <row r="183" customHeight="1" spans="1:15">
      <c r="A183" s="73" t="str">
        <f t="shared" si="2"/>
        <v>G华为P30默认</v>
      </c>
      <c r="B183" s="74" t="s">
        <v>23</v>
      </c>
      <c r="C183" s="74" t="s">
        <v>198</v>
      </c>
      <c r="D183" s="74" t="s">
        <v>234</v>
      </c>
      <c r="E183" s="74" t="s">
        <v>16</v>
      </c>
      <c r="F183" s="74"/>
      <c r="G183" s="75">
        <v>240</v>
      </c>
      <c r="O183" s="80"/>
    </row>
    <row r="184" customHeight="1" spans="1:15">
      <c r="A184" s="73" t="str">
        <f t="shared" si="2"/>
        <v>华为P30PRO默认</v>
      </c>
      <c r="B184" s="74" t="s">
        <v>23</v>
      </c>
      <c r="C184" s="74" t="s">
        <v>198</v>
      </c>
      <c r="D184" s="74" t="s">
        <v>235</v>
      </c>
      <c r="E184" s="74" t="s">
        <v>16</v>
      </c>
      <c r="F184" s="74"/>
      <c r="G184" s="75">
        <v>380</v>
      </c>
      <c r="O184" s="80"/>
    </row>
    <row r="185" customHeight="1" spans="1:15">
      <c r="A185" s="73" t="str">
        <f t="shared" si="2"/>
        <v>G华为P30PRO默认</v>
      </c>
      <c r="B185" s="74" t="s">
        <v>23</v>
      </c>
      <c r="C185" s="74" t="s">
        <v>198</v>
      </c>
      <c r="D185" s="74" t="s">
        <v>236</v>
      </c>
      <c r="E185" s="74" t="s">
        <v>16</v>
      </c>
      <c r="F185" s="74"/>
      <c r="G185" s="75">
        <v>300</v>
      </c>
      <c r="O185" s="80"/>
    </row>
    <row r="186" customHeight="1" spans="1:15">
      <c r="A186" s="73" t="str">
        <f t="shared" si="2"/>
        <v>华为P40默认</v>
      </c>
      <c r="B186" s="74" t="s">
        <v>23</v>
      </c>
      <c r="C186" s="74" t="s">
        <v>198</v>
      </c>
      <c r="D186" s="74" t="s">
        <v>237</v>
      </c>
      <c r="E186" s="74" t="s">
        <v>16</v>
      </c>
      <c r="F186" s="74"/>
      <c r="G186" s="75">
        <v>500</v>
      </c>
      <c r="O186" s="80"/>
    </row>
    <row r="187" customHeight="1" spans="1:15">
      <c r="A187" s="73" t="str">
        <f t="shared" si="2"/>
        <v>G华为P40默认</v>
      </c>
      <c r="B187" s="74" t="s">
        <v>23</v>
      </c>
      <c r="C187" s="74" t="s">
        <v>198</v>
      </c>
      <c r="D187" s="74" t="s">
        <v>238</v>
      </c>
      <c r="E187" s="74" t="s">
        <v>16</v>
      </c>
      <c r="F187" s="74"/>
      <c r="G187" s="75">
        <v>350</v>
      </c>
      <c r="O187" s="80"/>
    </row>
    <row r="188" customHeight="1" spans="1:15">
      <c r="A188" s="73" t="str">
        <f t="shared" si="2"/>
        <v>华为P40PRO默认</v>
      </c>
      <c r="B188" s="74" t="s">
        <v>23</v>
      </c>
      <c r="C188" s="74" t="s">
        <v>198</v>
      </c>
      <c r="D188" s="74" t="s">
        <v>239</v>
      </c>
      <c r="E188" s="74" t="s">
        <v>16</v>
      </c>
      <c r="F188" s="74"/>
      <c r="G188" s="75">
        <v>600</v>
      </c>
      <c r="O188" s="80"/>
    </row>
    <row r="189" customHeight="1" spans="1:15">
      <c r="A189" s="73" t="str">
        <f t="shared" si="2"/>
        <v>G华为P40PRO默认</v>
      </c>
      <c r="B189" s="74" t="s">
        <v>23</v>
      </c>
      <c r="C189" s="74" t="s">
        <v>198</v>
      </c>
      <c r="D189" s="74" t="s">
        <v>240</v>
      </c>
      <c r="E189" s="74" t="s">
        <v>16</v>
      </c>
      <c r="F189" s="74"/>
      <c r="G189" s="75">
        <v>400</v>
      </c>
      <c r="O189" s="80"/>
    </row>
    <row r="190" customHeight="1" spans="1:15">
      <c r="A190" s="73" t="str">
        <f t="shared" si="2"/>
        <v>华为P50默认</v>
      </c>
      <c r="B190" s="74" t="s">
        <v>23</v>
      </c>
      <c r="C190" s="74" t="s">
        <v>198</v>
      </c>
      <c r="D190" s="74" t="s">
        <v>241</v>
      </c>
      <c r="E190" s="74" t="s">
        <v>16</v>
      </c>
      <c r="F190" s="74"/>
      <c r="G190" s="75" t="s">
        <v>17</v>
      </c>
      <c r="O190" s="80"/>
    </row>
    <row r="191" customHeight="1" spans="1:15">
      <c r="A191" s="73" t="str">
        <f t="shared" si="2"/>
        <v>G华为P50默认</v>
      </c>
      <c r="B191" s="74" t="s">
        <v>23</v>
      </c>
      <c r="C191" s="74" t="s">
        <v>198</v>
      </c>
      <c r="D191" s="74" t="s">
        <v>242</v>
      </c>
      <c r="E191" s="74" t="s">
        <v>16</v>
      </c>
      <c r="F191" s="74"/>
      <c r="G191" s="75" t="s">
        <v>17</v>
      </c>
      <c r="O191" s="80"/>
    </row>
    <row r="192" customHeight="1" spans="1:15">
      <c r="A192" s="73" t="str">
        <f t="shared" si="2"/>
        <v>华为P60默认</v>
      </c>
      <c r="B192" s="74" t="s">
        <v>23</v>
      </c>
      <c r="C192" s="74" t="s">
        <v>198</v>
      </c>
      <c r="D192" s="74" t="s">
        <v>243</v>
      </c>
      <c r="E192" s="74" t="s">
        <v>16</v>
      </c>
      <c r="F192" s="74"/>
      <c r="G192" s="75" t="s">
        <v>17</v>
      </c>
      <c r="O192" s="80"/>
    </row>
    <row r="193" customHeight="1" spans="1:15">
      <c r="A193" s="73" t="str">
        <f t="shared" si="2"/>
        <v>华为畅享10S默认</v>
      </c>
      <c r="B193" s="74" t="s">
        <v>23</v>
      </c>
      <c r="C193" s="74" t="s">
        <v>198</v>
      </c>
      <c r="D193" s="74" t="s">
        <v>244</v>
      </c>
      <c r="E193" s="74" t="s">
        <v>16</v>
      </c>
      <c r="F193" s="74"/>
      <c r="G193" s="75" t="s">
        <v>17</v>
      </c>
      <c r="O193" s="80"/>
    </row>
    <row r="194" customHeight="1" spans="1:15">
      <c r="A194" s="73" t="str">
        <f t="shared" si="2"/>
        <v>华为畅享20SE默认</v>
      </c>
      <c r="B194" s="74" t="s">
        <v>23</v>
      </c>
      <c r="C194" s="74" t="s">
        <v>198</v>
      </c>
      <c r="D194" s="74" t="s">
        <v>245</v>
      </c>
      <c r="E194" s="74" t="s">
        <v>16</v>
      </c>
      <c r="F194" s="74"/>
      <c r="G194" s="75" t="s">
        <v>17</v>
      </c>
      <c r="O194" s="80"/>
    </row>
    <row r="195" customHeight="1" spans="1:15">
      <c r="A195" s="73" t="str">
        <f t="shared" ref="A195:A258" si="3">D195&amp;E195</f>
        <v>华为畅享8E默认</v>
      </c>
      <c r="B195" s="74" t="s">
        <v>23</v>
      </c>
      <c r="C195" s="74" t="s">
        <v>198</v>
      </c>
      <c r="D195" s="74" t="s">
        <v>246</v>
      </c>
      <c r="E195" s="74" t="s">
        <v>16</v>
      </c>
      <c r="F195" s="74"/>
      <c r="G195" s="75" t="s">
        <v>17</v>
      </c>
      <c r="O195" s="80"/>
    </row>
    <row r="196" customHeight="1" spans="1:15">
      <c r="A196" s="73" t="str">
        <f t="shared" si="3"/>
        <v>华为荣耀10默认</v>
      </c>
      <c r="B196" s="74" t="s">
        <v>23</v>
      </c>
      <c r="C196" s="74" t="s">
        <v>198</v>
      </c>
      <c r="D196" s="74" t="s">
        <v>247</v>
      </c>
      <c r="E196" s="74" t="s">
        <v>16</v>
      </c>
      <c r="F196" s="74"/>
      <c r="G196" s="75" t="s">
        <v>17</v>
      </c>
      <c r="O196" s="80"/>
    </row>
    <row r="197" customHeight="1" spans="1:15">
      <c r="A197" s="73" t="str">
        <f t="shared" si="3"/>
        <v>华为荣耀20默认</v>
      </c>
      <c r="B197" s="74" t="s">
        <v>23</v>
      </c>
      <c r="C197" s="74" t="s">
        <v>198</v>
      </c>
      <c r="D197" s="74" t="s">
        <v>248</v>
      </c>
      <c r="E197" s="74" t="s">
        <v>16</v>
      </c>
      <c r="F197" s="74"/>
      <c r="G197" s="75">
        <v>260</v>
      </c>
      <c r="O197" s="80"/>
    </row>
    <row r="198" customHeight="1" spans="1:15">
      <c r="A198" s="73" t="str">
        <f t="shared" si="3"/>
        <v>华为荣耀30默认</v>
      </c>
      <c r="B198" s="74" t="s">
        <v>23</v>
      </c>
      <c r="C198" s="74" t="s">
        <v>198</v>
      </c>
      <c r="D198" s="74" t="s">
        <v>249</v>
      </c>
      <c r="E198" s="74" t="s">
        <v>16</v>
      </c>
      <c r="F198" s="74"/>
      <c r="G198" s="75">
        <v>400</v>
      </c>
      <c r="O198" s="80"/>
    </row>
    <row r="199" customHeight="1" spans="1:15">
      <c r="A199" s="73" t="str">
        <f t="shared" si="3"/>
        <v>华为荣耀30PRO默认</v>
      </c>
      <c r="B199" s="74" t="s">
        <v>23</v>
      </c>
      <c r="C199" s="74" t="s">
        <v>198</v>
      </c>
      <c r="D199" s="74" t="s">
        <v>250</v>
      </c>
      <c r="E199" s="74" t="s">
        <v>16</v>
      </c>
      <c r="F199" s="74"/>
      <c r="G199" s="75">
        <v>450</v>
      </c>
      <c r="O199" s="80"/>
    </row>
    <row r="200" customHeight="1" spans="1:15">
      <c r="A200" s="73" t="str">
        <f t="shared" si="3"/>
        <v>华为荣耀30S默认</v>
      </c>
      <c r="B200" s="74" t="s">
        <v>23</v>
      </c>
      <c r="C200" s="74" t="s">
        <v>198</v>
      </c>
      <c r="D200" s="74" t="s">
        <v>251</v>
      </c>
      <c r="E200" s="74" t="s">
        <v>16</v>
      </c>
      <c r="F200" s="74"/>
      <c r="G200" s="75">
        <v>400</v>
      </c>
      <c r="O200" s="80"/>
    </row>
    <row r="201" customHeight="1" spans="1:15">
      <c r="A201" s="73" t="str">
        <f t="shared" si="3"/>
        <v>华为荣耀50PRO默认</v>
      </c>
      <c r="B201" s="74" t="s">
        <v>23</v>
      </c>
      <c r="C201" s="74" t="s">
        <v>198</v>
      </c>
      <c r="D201" s="74" t="s">
        <v>252</v>
      </c>
      <c r="E201" s="74" t="s">
        <v>16</v>
      </c>
      <c r="F201" s="74"/>
      <c r="G201" s="75" t="s">
        <v>17</v>
      </c>
      <c r="O201" s="80"/>
    </row>
    <row r="202" customHeight="1" spans="1:15">
      <c r="A202" s="73" t="str">
        <f t="shared" si="3"/>
        <v>华为荣耀60pro默认</v>
      </c>
      <c r="B202" s="74" t="s">
        <v>23</v>
      </c>
      <c r="C202" s="74" t="s">
        <v>198</v>
      </c>
      <c r="D202" s="74" t="s">
        <v>253</v>
      </c>
      <c r="E202" s="74" t="s">
        <v>16</v>
      </c>
      <c r="F202" s="74"/>
      <c r="G202" s="75" t="s">
        <v>17</v>
      </c>
      <c r="O202" s="80"/>
    </row>
    <row r="203" customHeight="1" spans="1:15">
      <c r="A203" s="73" t="str">
        <f t="shared" si="3"/>
        <v>华为荣耀8默认</v>
      </c>
      <c r="B203" s="74" t="s">
        <v>23</v>
      </c>
      <c r="C203" s="74" t="s">
        <v>198</v>
      </c>
      <c r="D203" s="74" t="s">
        <v>254</v>
      </c>
      <c r="E203" s="74" t="s">
        <v>16</v>
      </c>
      <c r="F203" s="74"/>
      <c r="G203" s="75" t="s">
        <v>17</v>
      </c>
      <c r="O203" s="80"/>
    </row>
    <row r="204" customHeight="1" spans="1:15">
      <c r="A204" s="73" t="str">
        <f t="shared" si="3"/>
        <v>华为荣耀9默认</v>
      </c>
      <c r="B204" s="74" t="s">
        <v>23</v>
      </c>
      <c r="C204" s="74" t="s">
        <v>198</v>
      </c>
      <c r="D204" s="74" t="s">
        <v>255</v>
      </c>
      <c r="E204" s="74" t="s">
        <v>16</v>
      </c>
      <c r="F204" s="74"/>
      <c r="G204" s="75">
        <v>200</v>
      </c>
      <c r="O204" s="80"/>
    </row>
    <row r="205" customHeight="1" spans="1:15">
      <c r="A205" s="73" t="str">
        <f t="shared" si="3"/>
        <v>华为荣耀9X默认</v>
      </c>
      <c r="B205" s="74" t="s">
        <v>23</v>
      </c>
      <c r="C205" s="74" t="s">
        <v>198</v>
      </c>
      <c r="D205" s="74" t="s">
        <v>256</v>
      </c>
      <c r="E205" s="74" t="s">
        <v>16</v>
      </c>
      <c r="F205" s="74"/>
      <c r="G205" s="75">
        <v>240</v>
      </c>
      <c r="O205" s="80"/>
    </row>
    <row r="206" customHeight="1" spans="1:15">
      <c r="A206" s="73" t="str">
        <f t="shared" si="3"/>
        <v>华为荣耀piay3默认</v>
      </c>
      <c r="B206" s="74" t="s">
        <v>23</v>
      </c>
      <c r="C206" s="74" t="s">
        <v>198</v>
      </c>
      <c r="D206" s="74" t="s">
        <v>257</v>
      </c>
      <c r="E206" s="74" t="s">
        <v>16</v>
      </c>
      <c r="F206" s="74"/>
      <c r="G206" s="75" t="s">
        <v>17</v>
      </c>
      <c r="O206" s="80"/>
    </row>
    <row r="207" customHeight="1" spans="1:15">
      <c r="A207" s="73" t="str">
        <f t="shared" si="3"/>
        <v>华为荣耀play5tpro默认</v>
      </c>
      <c r="B207" s="74" t="s">
        <v>23</v>
      </c>
      <c r="C207" s="74" t="s">
        <v>198</v>
      </c>
      <c r="D207" s="74" t="s">
        <v>258</v>
      </c>
      <c r="E207" s="74" t="s">
        <v>16</v>
      </c>
      <c r="F207" s="74"/>
      <c r="G207" s="75" t="s">
        <v>17</v>
      </c>
      <c r="O207" s="80"/>
    </row>
    <row r="208" customHeight="1" spans="1:15">
      <c r="A208" s="73" t="str">
        <f t="shared" si="3"/>
        <v>华为荣耀V10默认</v>
      </c>
      <c r="B208" s="74" t="s">
        <v>23</v>
      </c>
      <c r="C208" s="74" t="s">
        <v>198</v>
      </c>
      <c r="D208" s="74" t="s">
        <v>259</v>
      </c>
      <c r="E208" s="74" t="s">
        <v>16</v>
      </c>
      <c r="F208" s="74"/>
      <c r="G208" s="75" t="s">
        <v>17</v>
      </c>
      <c r="O208" s="80"/>
    </row>
    <row r="209" customHeight="1" spans="1:15">
      <c r="A209" s="73" t="str">
        <f t="shared" si="3"/>
        <v>华为荣耀V20默认</v>
      </c>
      <c r="B209" s="74" t="s">
        <v>23</v>
      </c>
      <c r="C209" s="74" t="s">
        <v>198</v>
      </c>
      <c r="D209" s="74" t="s">
        <v>260</v>
      </c>
      <c r="E209" s="74" t="s">
        <v>16</v>
      </c>
      <c r="F209" s="74"/>
      <c r="G209" s="75">
        <v>260</v>
      </c>
      <c r="O209" s="80"/>
    </row>
    <row r="210" customHeight="1" spans="1:15">
      <c r="A210" s="73" t="str">
        <f t="shared" si="3"/>
        <v>华为荣耀V30默认</v>
      </c>
      <c r="B210" s="74" t="s">
        <v>23</v>
      </c>
      <c r="C210" s="74" t="s">
        <v>198</v>
      </c>
      <c r="D210" s="74" t="s">
        <v>261</v>
      </c>
      <c r="E210" s="74" t="s">
        <v>16</v>
      </c>
      <c r="F210" s="74"/>
      <c r="G210" s="75">
        <v>400</v>
      </c>
      <c r="O210" s="80"/>
    </row>
    <row r="211" customHeight="1" spans="1:15">
      <c r="A211" s="73" t="str">
        <f t="shared" si="3"/>
        <v>华为荣耀X10默认</v>
      </c>
      <c r="B211" s="74" t="s">
        <v>23</v>
      </c>
      <c r="C211" s="74" t="s">
        <v>198</v>
      </c>
      <c r="D211" s="74" t="s">
        <v>262</v>
      </c>
      <c r="E211" s="74" t="s">
        <v>16</v>
      </c>
      <c r="F211" s="74"/>
      <c r="G211" s="75" t="s">
        <v>17</v>
      </c>
      <c r="O211" s="80"/>
    </row>
    <row r="212" customHeight="1" spans="1:15">
      <c r="A212" s="73" t="str">
        <f t="shared" si="3"/>
        <v>华为荣耀X30128G</v>
      </c>
      <c r="B212" s="74" t="s">
        <v>23</v>
      </c>
      <c r="C212" s="74" t="s">
        <v>198</v>
      </c>
      <c r="D212" s="74" t="s">
        <v>263</v>
      </c>
      <c r="E212" s="74" t="s">
        <v>103</v>
      </c>
      <c r="F212" s="74"/>
      <c r="G212" s="75">
        <v>400</v>
      </c>
      <c r="O212" s="80"/>
    </row>
    <row r="213" customHeight="1" spans="1:15">
      <c r="A213" s="73" t="str">
        <f t="shared" si="3"/>
        <v>华为荣耀X30默认</v>
      </c>
      <c r="B213" s="74" t="s">
        <v>23</v>
      </c>
      <c r="C213" s="74" t="s">
        <v>198</v>
      </c>
      <c r="D213" s="74" t="s">
        <v>263</v>
      </c>
      <c r="E213" s="74" t="s">
        <v>16</v>
      </c>
      <c r="F213" s="74"/>
      <c r="G213" s="75">
        <v>400</v>
      </c>
      <c r="O213" s="80"/>
    </row>
    <row r="214" customHeight="1" spans="1:15">
      <c r="A214" s="73" t="str">
        <f t="shared" si="3"/>
        <v>华为荣耀X9默认</v>
      </c>
      <c r="B214" s="74" t="s">
        <v>23</v>
      </c>
      <c r="C214" s="74" t="s">
        <v>198</v>
      </c>
      <c r="D214" s="74" t="s">
        <v>264</v>
      </c>
      <c r="E214" s="74" t="s">
        <v>16</v>
      </c>
      <c r="F214" s="74"/>
      <c r="G214" s="75" t="s">
        <v>17</v>
      </c>
      <c r="O214" s="80"/>
    </row>
    <row r="215" customHeight="1" spans="1:15">
      <c r="A215" s="73" t="str">
        <f t="shared" si="3"/>
        <v>苹果11128G</v>
      </c>
      <c r="B215" s="74" t="s">
        <v>23</v>
      </c>
      <c r="C215" s="74" t="s">
        <v>30</v>
      </c>
      <c r="D215" s="74" t="s">
        <v>265</v>
      </c>
      <c r="E215" s="74" t="s">
        <v>103</v>
      </c>
      <c r="F215" s="74"/>
      <c r="G215" s="75">
        <v>820</v>
      </c>
      <c r="O215" s="80"/>
    </row>
    <row r="216" customHeight="1" spans="1:15">
      <c r="A216" s="73" t="str">
        <f t="shared" si="3"/>
        <v>苹果11256G</v>
      </c>
      <c r="B216" s="74" t="s">
        <v>23</v>
      </c>
      <c r="C216" s="74" t="s">
        <v>30</v>
      </c>
      <c r="D216" s="74" t="s">
        <v>265</v>
      </c>
      <c r="E216" s="74" t="s">
        <v>105</v>
      </c>
      <c r="F216" s="74"/>
      <c r="G216" s="75">
        <v>850</v>
      </c>
      <c r="O216" s="80"/>
    </row>
    <row r="217" customHeight="1" spans="1:15">
      <c r="A217" s="73" t="str">
        <f t="shared" si="3"/>
        <v>苹果1164G</v>
      </c>
      <c r="B217" s="74" t="s">
        <v>23</v>
      </c>
      <c r="C217" s="74" t="s">
        <v>30</v>
      </c>
      <c r="D217" s="74" t="s">
        <v>265</v>
      </c>
      <c r="E217" s="74" t="s">
        <v>266</v>
      </c>
      <c r="F217" s="74"/>
      <c r="G217" s="75">
        <v>800</v>
      </c>
      <c r="O217" s="80"/>
    </row>
    <row r="218" customHeight="1" spans="1:15">
      <c r="A218" s="73" t="str">
        <f t="shared" si="3"/>
        <v>苹果11默认</v>
      </c>
      <c r="B218" s="74" t="s">
        <v>23</v>
      </c>
      <c r="C218" s="74" t="s">
        <v>30</v>
      </c>
      <c r="D218" s="74" t="s">
        <v>265</v>
      </c>
      <c r="E218" s="74" t="s">
        <v>16</v>
      </c>
      <c r="F218" s="74"/>
      <c r="G218" s="75">
        <v>800</v>
      </c>
      <c r="O218" s="80"/>
    </row>
    <row r="219" customHeight="1" spans="1:15">
      <c r="A219" s="73" t="str">
        <f t="shared" si="3"/>
        <v>G苹果11128G</v>
      </c>
      <c r="B219" s="74" t="s">
        <v>23</v>
      </c>
      <c r="C219" s="74" t="s">
        <v>30</v>
      </c>
      <c r="D219" s="74" t="s">
        <v>267</v>
      </c>
      <c r="E219" s="74" t="s">
        <v>103</v>
      </c>
      <c r="F219" s="74"/>
      <c r="G219" s="75">
        <v>600</v>
      </c>
      <c r="O219" s="80"/>
    </row>
    <row r="220" customHeight="1" spans="1:15">
      <c r="A220" s="73" t="str">
        <f t="shared" si="3"/>
        <v>G苹果11256G</v>
      </c>
      <c r="B220" s="74" t="s">
        <v>23</v>
      </c>
      <c r="C220" s="74" t="s">
        <v>30</v>
      </c>
      <c r="D220" s="74" t="s">
        <v>267</v>
      </c>
      <c r="E220" s="74" t="s">
        <v>105</v>
      </c>
      <c r="F220" s="74"/>
      <c r="G220" s="75">
        <v>650</v>
      </c>
      <c r="O220" s="80"/>
    </row>
    <row r="221" customHeight="1" spans="1:15">
      <c r="A221" s="73" t="str">
        <f t="shared" si="3"/>
        <v>G苹果11512G</v>
      </c>
      <c r="B221" s="74" t="s">
        <v>23</v>
      </c>
      <c r="C221" s="74" t="s">
        <v>30</v>
      </c>
      <c r="D221" s="74" t="s">
        <v>267</v>
      </c>
      <c r="E221" s="74" t="s">
        <v>268</v>
      </c>
      <c r="F221" s="74"/>
      <c r="G221" s="75" t="s">
        <v>17</v>
      </c>
      <c r="O221" s="80"/>
    </row>
    <row r="222" customHeight="1" spans="1:15">
      <c r="A222" s="73" t="str">
        <f t="shared" si="3"/>
        <v>G苹果1164G</v>
      </c>
      <c r="B222" s="74" t="s">
        <v>23</v>
      </c>
      <c r="C222" s="74" t="s">
        <v>30</v>
      </c>
      <c r="D222" s="74" t="s">
        <v>267</v>
      </c>
      <c r="E222" s="74" t="s">
        <v>266</v>
      </c>
      <c r="F222" s="74"/>
      <c r="G222" s="75">
        <v>600</v>
      </c>
      <c r="O222" s="80"/>
    </row>
    <row r="223" customHeight="1" spans="1:15">
      <c r="A223" s="73" t="str">
        <f t="shared" si="3"/>
        <v>G苹果11默认</v>
      </c>
      <c r="B223" s="74" t="s">
        <v>23</v>
      </c>
      <c r="C223" s="74" t="s">
        <v>30</v>
      </c>
      <c r="D223" s="74" t="s">
        <v>267</v>
      </c>
      <c r="E223" s="74" t="s">
        <v>16</v>
      </c>
      <c r="F223" s="74"/>
      <c r="G223" s="75">
        <v>600</v>
      </c>
      <c r="O223" s="80"/>
    </row>
    <row r="224" customHeight="1" spans="1:15">
      <c r="A224" s="73" t="str">
        <f t="shared" si="3"/>
        <v>苹果11pro128G</v>
      </c>
      <c r="B224" s="74" t="s">
        <v>23</v>
      </c>
      <c r="C224" s="74" t="s">
        <v>30</v>
      </c>
      <c r="D224" s="74" t="s">
        <v>269</v>
      </c>
      <c r="E224" s="74" t="s">
        <v>103</v>
      </c>
      <c r="F224" s="74"/>
      <c r="G224" s="75">
        <v>900</v>
      </c>
      <c r="O224" s="80"/>
    </row>
    <row r="225" customHeight="1" spans="1:15">
      <c r="A225" s="73" t="str">
        <f t="shared" si="3"/>
        <v>苹果11pro256G</v>
      </c>
      <c r="B225" s="74" t="s">
        <v>23</v>
      </c>
      <c r="C225" s="74" t="s">
        <v>30</v>
      </c>
      <c r="D225" s="74" t="s">
        <v>269</v>
      </c>
      <c r="E225" s="74" t="s">
        <v>105</v>
      </c>
      <c r="F225" s="74"/>
      <c r="G225" s="75">
        <v>900</v>
      </c>
      <c r="O225" s="80"/>
    </row>
    <row r="226" customHeight="1" spans="1:15">
      <c r="A226" s="73" t="str">
        <f t="shared" si="3"/>
        <v>苹果11pro默认</v>
      </c>
      <c r="B226" s="74" t="s">
        <v>23</v>
      </c>
      <c r="C226" s="74" t="s">
        <v>30</v>
      </c>
      <c r="D226" s="74" t="s">
        <v>269</v>
      </c>
      <c r="E226" s="74" t="s">
        <v>16</v>
      </c>
      <c r="F226" s="74"/>
      <c r="G226" s="75">
        <v>900</v>
      </c>
      <c r="O226" s="80"/>
    </row>
    <row r="227" customHeight="1" spans="1:15">
      <c r="A227" s="73" t="str">
        <f t="shared" si="3"/>
        <v>苹果11promax128G</v>
      </c>
      <c r="B227" s="74" t="s">
        <v>23</v>
      </c>
      <c r="C227" s="74" t="s">
        <v>30</v>
      </c>
      <c r="D227" s="74" t="s">
        <v>270</v>
      </c>
      <c r="E227" s="74" t="s">
        <v>103</v>
      </c>
      <c r="F227" s="74"/>
      <c r="G227" s="75">
        <v>1100</v>
      </c>
      <c r="O227" s="80"/>
    </row>
    <row r="228" customHeight="1" spans="1:15">
      <c r="A228" s="73" t="str">
        <f t="shared" si="3"/>
        <v>苹果11promax256G</v>
      </c>
      <c r="B228" s="74" t="s">
        <v>23</v>
      </c>
      <c r="C228" s="74" t="s">
        <v>30</v>
      </c>
      <c r="D228" s="74" t="s">
        <v>270</v>
      </c>
      <c r="E228" s="74" t="s">
        <v>105</v>
      </c>
      <c r="F228" s="74"/>
      <c r="G228" s="75">
        <v>1100</v>
      </c>
      <c r="O228" s="80"/>
    </row>
    <row r="229" customHeight="1" spans="1:15">
      <c r="A229" s="73" t="str">
        <f t="shared" si="3"/>
        <v>苹果11promax64G</v>
      </c>
      <c r="B229" s="74" t="s">
        <v>23</v>
      </c>
      <c r="C229" s="74" t="s">
        <v>30</v>
      </c>
      <c r="D229" s="74" t="s">
        <v>270</v>
      </c>
      <c r="E229" s="74" t="s">
        <v>266</v>
      </c>
      <c r="F229" s="74"/>
      <c r="G229" s="75">
        <v>1100</v>
      </c>
      <c r="O229" s="80"/>
    </row>
    <row r="230" customHeight="1" spans="1:15">
      <c r="A230" s="73" t="str">
        <f t="shared" si="3"/>
        <v>苹果11promax默认</v>
      </c>
      <c r="B230" s="74" t="s">
        <v>23</v>
      </c>
      <c r="C230" s="74" t="s">
        <v>30</v>
      </c>
      <c r="D230" s="74" t="s">
        <v>270</v>
      </c>
      <c r="E230" s="74" t="s">
        <v>16</v>
      </c>
      <c r="F230" s="74"/>
      <c r="G230" s="75">
        <v>1100</v>
      </c>
      <c r="O230" s="80"/>
    </row>
    <row r="231" customHeight="1" spans="1:15">
      <c r="A231" s="73" t="str">
        <f t="shared" si="3"/>
        <v>G苹果11promax128G</v>
      </c>
      <c r="B231" s="74" t="s">
        <v>23</v>
      </c>
      <c r="C231" s="74" t="s">
        <v>30</v>
      </c>
      <c r="D231" s="74" t="s">
        <v>271</v>
      </c>
      <c r="E231" s="74" t="s">
        <v>103</v>
      </c>
      <c r="F231" s="74"/>
      <c r="G231" s="75">
        <v>1100</v>
      </c>
      <c r="O231" s="80"/>
    </row>
    <row r="232" customHeight="1" spans="1:15">
      <c r="A232" s="73" t="str">
        <f t="shared" si="3"/>
        <v>G苹果11promax64G</v>
      </c>
      <c r="B232" s="74" t="s">
        <v>23</v>
      </c>
      <c r="C232" s="74" t="s">
        <v>30</v>
      </c>
      <c r="D232" s="74" t="s">
        <v>271</v>
      </c>
      <c r="E232" s="74" t="s">
        <v>266</v>
      </c>
      <c r="F232" s="74"/>
      <c r="G232" s="75">
        <v>1100</v>
      </c>
      <c r="O232" s="80"/>
    </row>
    <row r="233" customHeight="1" spans="1:15">
      <c r="A233" s="73" t="str">
        <f t="shared" si="3"/>
        <v>G苹果11promax默认</v>
      </c>
      <c r="B233" s="74" t="s">
        <v>23</v>
      </c>
      <c r="C233" s="74" t="s">
        <v>30</v>
      </c>
      <c r="D233" s="74" t="s">
        <v>271</v>
      </c>
      <c r="E233" s="74" t="s">
        <v>16</v>
      </c>
      <c r="F233" s="74"/>
      <c r="G233" s="75">
        <v>1100</v>
      </c>
      <c r="O233" s="80"/>
    </row>
    <row r="234" customHeight="1" spans="1:15">
      <c r="A234" s="73" t="str">
        <f t="shared" si="3"/>
        <v>苹果11有锁128G</v>
      </c>
      <c r="B234" s="74" t="s">
        <v>23</v>
      </c>
      <c r="C234" s="74" t="s">
        <v>30</v>
      </c>
      <c r="D234" s="74" t="s">
        <v>272</v>
      </c>
      <c r="E234" s="74" t="s">
        <v>103</v>
      </c>
      <c r="F234" s="74"/>
      <c r="G234" s="75">
        <v>600</v>
      </c>
      <c r="O234" s="80"/>
    </row>
    <row r="235" customHeight="1" spans="1:15">
      <c r="A235" s="73" t="str">
        <f t="shared" si="3"/>
        <v>苹果11有锁256G</v>
      </c>
      <c r="B235" s="74" t="s">
        <v>23</v>
      </c>
      <c r="C235" s="74" t="s">
        <v>30</v>
      </c>
      <c r="D235" s="74" t="s">
        <v>272</v>
      </c>
      <c r="E235" s="74" t="s">
        <v>105</v>
      </c>
      <c r="F235" s="74"/>
      <c r="G235" s="75">
        <v>600</v>
      </c>
      <c r="O235" s="80"/>
    </row>
    <row r="236" customHeight="1" spans="1:15">
      <c r="A236" s="73" t="str">
        <f t="shared" si="3"/>
        <v>苹果11有锁64G</v>
      </c>
      <c r="B236" s="74" t="s">
        <v>23</v>
      </c>
      <c r="C236" s="74" t="s">
        <v>30</v>
      </c>
      <c r="D236" s="74" t="s">
        <v>272</v>
      </c>
      <c r="E236" s="74" t="s">
        <v>266</v>
      </c>
      <c r="F236" s="74"/>
      <c r="G236" s="75">
        <v>600</v>
      </c>
      <c r="O236" s="80"/>
    </row>
    <row r="237" customHeight="1" spans="1:15">
      <c r="A237" s="73" t="str">
        <f t="shared" si="3"/>
        <v>苹果11有锁默认</v>
      </c>
      <c r="B237" s="74" t="s">
        <v>23</v>
      </c>
      <c r="C237" s="74" t="s">
        <v>30</v>
      </c>
      <c r="D237" s="74" t="s">
        <v>272</v>
      </c>
      <c r="E237" s="74" t="s">
        <v>16</v>
      </c>
      <c r="F237" s="74"/>
      <c r="G237" s="75">
        <v>600</v>
      </c>
      <c r="O237" s="80"/>
    </row>
    <row r="238" customHeight="1" spans="1:15">
      <c r="A238" s="73" t="str">
        <f t="shared" si="3"/>
        <v>苹果12128G</v>
      </c>
      <c r="B238" s="74" t="s">
        <v>23</v>
      </c>
      <c r="C238" s="74" t="s">
        <v>30</v>
      </c>
      <c r="D238" s="74" t="s">
        <v>273</v>
      </c>
      <c r="E238" s="74" t="s">
        <v>103</v>
      </c>
      <c r="F238" s="74"/>
      <c r="G238" s="75">
        <v>1000</v>
      </c>
      <c r="O238" s="80"/>
    </row>
    <row r="239" customHeight="1" spans="1:15">
      <c r="A239" s="73" t="str">
        <f t="shared" si="3"/>
        <v>苹果12256G</v>
      </c>
      <c r="B239" s="74" t="s">
        <v>23</v>
      </c>
      <c r="C239" s="74" t="s">
        <v>30</v>
      </c>
      <c r="D239" s="74" t="s">
        <v>273</v>
      </c>
      <c r="E239" s="74" t="s">
        <v>105</v>
      </c>
      <c r="F239" s="74"/>
      <c r="G239" s="75">
        <v>1100</v>
      </c>
      <c r="O239" s="80"/>
    </row>
    <row r="240" customHeight="1" spans="1:15">
      <c r="A240" s="73" t="str">
        <f t="shared" si="3"/>
        <v>苹果1264G</v>
      </c>
      <c r="B240" s="74" t="s">
        <v>23</v>
      </c>
      <c r="C240" s="74" t="s">
        <v>30</v>
      </c>
      <c r="D240" s="74" t="s">
        <v>273</v>
      </c>
      <c r="E240" s="74" t="s">
        <v>266</v>
      </c>
      <c r="F240" s="74"/>
      <c r="G240" s="75">
        <v>1000</v>
      </c>
      <c r="O240" s="80"/>
    </row>
    <row r="241" customHeight="1" spans="1:15">
      <c r="A241" s="73" t="str">
        <f t="shared" si="3"/>
        <v>苹果12默认</v>
      </c>
      <c r="B241" s="74" t="s">
        <v>23</v>
      </c>
      <c r="C241" s="74" t="s">
        <v>30</v>
      </c>
      <c r="D241" s="74" t="s">
        <v>273</v>
      </c>
      <c r="E241" s="74" t="s">
        <v>16</v>
      </c>
      <c r="F241" s="74"/>
      <c r="G241" s="75">
        <v>1000</v>
      </c>
      <c r="O241" s="80"/>
    </row>
    <row r="242" customHeight="1" spans="1:15">
      <c r="A242" s="73" t="str">
        <f t="shared" si="3"/>
        <v>G苹果12128G</v>
      </c>
      <c r="B242" s="74" t="s">
        <v>23</v>
      </c>
      <c r="C242" s="74" t="s">
        <v>30</v>
      </c>
      <c r="D242" s="74" t="s">
        <v>274</v>
      </c>
      <c r="E242" s="74" t="s">
        <v>103</v>
      </c>
      <c r="F242" s="74"/>
      <c r="G242" s="75">
        <v>800</v>
      </c>
      <c r="O242" s="80"/>
    </row>
    <row r="243" customHeight="1" spans="1:15">
      <c r="A243" s="73" t="str">
        <f t="shared" si="3"/>
        <v>G苹果12256G</v>
      </c>
      <c r="B243" s="74" t="s">
        <v>23</v>
      </c>
      <c r="C243" s="74" t="s">
        <v>30</v>
      </c>
      <c r="D243" s="74" t="s">
        <v>274</v>
      </c>
      <c r="E243" s="74" t="s">
        <v>105</v>
      </c>
      <c r="F243" s="74"/>
      <c r="G243" s="75">
        <v>800</v>
      </c>
      <c r="O243" s="80"/>
    </row>
    <row r="244" customHeight="1" spans="1:15">
      <c r="A244" s="73" t="str">
        <f t="shared" si="3"/>
        <v>G苹果12默认</v>
      </c>
      <c r="B244" s="74" t="s">
        <v>23</v>
      </c>
      <c r="C244" s="74" t="s">
        <v>30</v>
      </c>
      <c r="D244" s="74" t="s">
        <v>274</v>
      </c>
      <c r="E244" s="74" t="s">
        <v>16</v>
      </c>
      <c r="F244" s="74"/>
      <c r="G244" s="75">
        <v>800</v>
      </c>
      <c r="O244" s="80"/>
    </row>
    <row r="245" customHeight="1" spans="1:15">
      <c r="A245" s="73" t="str">
        <f t="shared" si="3"/>
        <v>苹果12mini64G</v>
      </c>
      <c r="B245" s="74" t="s">
        <v>23</v>
      </c>
      <c r="C245" s="74" t="s">
        <v>30</v>
      </c>
      <c r="D245" s="74" t="s">
        <v>275</v>
      </c>
      <c r="E245" s="74" t="s">
        <v>266</v>
      </c>
      <c r="F245" s="74"/>
      <c r="G245" s="75">
        <v>700</v>
      </c>
      <c r="O245" s="80"/>
    </row>
    <row r="246" customHeight="1" spans="1:15">
      <c r="A246" s="73" t="str">
        <f t="shared" si="3"/>
        <v>苹果12mini默认</v>
      </c>
      <c r="B246" s="74" t="s">
        <v>23</v>
      </c>
      <c r="C246" s="74" t="s">
        <v>30</v>
      </c>
      <c r="D246" s="74" t="s">
        <v>275</v>
      </c>
      <c r="E246" s="74" t="s">
        <v>16</v>
      </c>
      <c r="F246" s="74"/>
      <c r="G246" s="75">
        <v>700</v>
      </c>
      <c r="O246" s="80"/>
    </row>
    <row r="247" customHeight="1" spans="1:15">
      <c r="A247" s="73" t="str">
        <f t="shared" si="3"/>
        <v>苹果12mini有锁</v>
      </c>
      <c r="B247" s="74" t="s">
        <v>23</v>
      </c>
      <c r="C247" s="74" t="s">
        <v>30</v>
      </c>
      <c r="D247" s="74" t="s">
        <v>275</v>
      </c>
      <c r="E247" s="74" t="s">
        <v>276</v>
      </c>
      <c r="F247" s="74"/>
      <c r="G247" s="75" t="s">
        <v>17</v>
      </c>
      <c r="O247" s="80"/>
    </row>
    <row r="248" customHeight="1" spans="1:15">
      <c r="A248" s="73" t="str">
        <f t="shared" si="3"/>
        <v>苹果12PRO默认</v>
      </c>
      <c r="B248" s="74" t="s">
        <v>23</v>
      </c>
      <c r="C248" s="74" t="s">
        <v>30</v>
      </c>
      <c r="D248" s="74" t="s">
        <v>277</v>
      </c>
      <c r="E248" s="74" t="s">
        <v>16</v>
      </c>
      <c r="F248" s="74"/>
      <c r="G248" s="75">
        <v>1300</v>
      </c>
      <c r="O248" s="80"/>
    </row>
    <row r="249" customHeight="1" spans="1:15">
      <c r="A249" s="73" t="str">
        <f t="shared" si="3"/>
        <v>苹果12promax128G</v>
      </c>
      <c r="B249" s="74" t="s">
        <v>23</v>
      </c>
      <c r="C249" s="74" t="s">
        <v>30</v>
      </c>
      <c r="D249" s="74" t="s">
        <v>278</v>
      </c>
      <c r="E249" s="74" t="s">
        <v>103</v>
      </c>
      <c r="F249" s="74"/>
      <c r="G249" s="75">
        <v>1500</v>
      </c>
      <c r="O249" s="80"/>
    </row>
    <row r="250" customHeight="1" spans="1:15">
      <c r="A250" s="73" t="str">
        <f t="shared" si="3"/>
        <v>苹果12promax默认</v>
      </c>
      <c r="B250" s="74" t="s">
        <v>23</v>
      </c>
      <c r="C250" s="74" t="s">
        <v>30</v>
      </c>
      <c r="D250" s="74" t="s">
        <v>278</v>
      </c>
      <c r="E250" s="74" t="s">
        <v>16</v>
      </c>
      <c r="F250" s="74"/>
      <c r="G250" s="75">
        <v>1500</v>
      </c>
      <c r="O250" s="80"/>
    </row>
    <row r="251" customHeight="1" spans="1:15">
      <c r="A251" s="73" t="str">
        <f t="shared" si="3"/>
        <v>苹果12配置默认</v>
      </c>
      <c r="B251" s="74" t="s">
        <v>23</v>
      </c>
      <c r="C251" s="74" t="s">
        <v>30</v>
      </c>
      <c r="D251" s="74" t="s">
        <v>279</v>
      </c>
      <c r="E251" s="74" t="s">
        <v>16</v>
      </c>
      <c r="F251" s="74"/>
      <c r="G251" s="75">
        <v>1000</v>
      </c>
      <c r="O251" s="80"/>
    </row>
    <row r="252" customHeight="1" spans="1:15">
      <c r="A252" s="73" t="str">
        <f t="shared" si="3"/>
        <v>苹果12有锁128G</v>
      </c>
      <c r="B252" s="74" t="s">
        <v>23</v>
      </c>
      <c r="C252" s="74" t="s">
        <v>30</v>
      </c>
      <c r="D252" s="74" t="s">
        <v>280</v>
      </c>
      <c r="E252" s="74" t="s">
        <v>103</v>
      </c>
      <c r="F252" s="74"/>
      <c r="G252" s="75">
        <v>1000</v>
      </c>
      <c r="O252" s="80"/>
    </row>
    <row r="253" customHeight="1" spans="1:15">
      <c r="A253" s="73" t="str">
        <f t="shared" si="3"/>
        <v>G苹果12有锁128G</v>
      </c>
      <c r="B253" s="74" t="s">
        <v>23</v>
      </c>
      <c r="C253" s="74" t="s">
        <v>30</v>
      </c>
      <c r="D253" s="74" t="s">
        <v>281</v>
      </c>
      <c r="E253" s="74" t="s">
        <v>103</v>
      </c>
      <c r="F253" s="74"/>
      <c r="G253" s="75">
        <v>800</v>
      </c>
      <c r="O253" s="80"/>
    </row>
    <row r="254" customHeight="1" spans="1:15">
      <c r="A254" s="73" t="str">
        <f t="shared" si="3"/>
        <v>G苹果12有锁64G</v>
      </c>
      <c r="B254" s="74" t="s">
        <v>23</v>
      </c>
      <c r="C254" s="74" t="s">
        <v>30</v>
      </c>
      <c r="D254" s="74" t="s">
        <v>281</v>
      </c>
      <c r="E254" s="74" t="s">
        <v>266</v>
      </c>
      <c r="F254" s="74"/>
      <c r="G254" s="75">
        <v>800</v>
      </c>
      <c r="O254" s="80"/>
    </row>
    <row r="255" customHeight="1" spans="1:15">
      <c r="A255" s="73" t="str">
        <f t="shared" si="3"/>
        <v>G苹果12有锁默认</v>
      </c>
      <c r="B255" s="74" t="s">
        <v>23</v>
      </c>
      <c r="C255" s="74" t="s">
        <v>30</v>
      </c>
      <c r="D255" s="74" t="s">
        <v>281</v>
      </c>
      <c r="E255" s="74" t="s">
        <v>16</v>
      </c>
      <c r="F255" s="74"/>
      <c r="G255" s="75">
        <v>800</v>
      </c>
      <c r="O255" s="80"/>
    </row>
    <row r="256" customHeight="1" spans="1:15">
      <c r="A256" s="73" t="str">
        <f t="shared" si="3"/>
        <v>苹果13128G</v>
      </c>
      <c r="B256" s="74" t="s">
        <v>23</v>
      </c>
      <c r="C256" s="74" t="s">
        <v>30</v>
      </c>
      <c r="D256" s="74" t="s">
        <v>282</v>
      </c>
      <c r="E256" s="74" t="s">
        <v>103</v>
      </c>
      <c r="F256" s="74"/>
      <c r="G256" s="75">
        <v>1400</v>
      </c>
      <c r="O256" s="80"/>
    </row>
    <row r="257" customHeight="1" spans="1:15">
      <c r="A257" s="73" t="str">
        <f t="shared" si="3"/>
        <v>苹果13256G</v>
      </c>
      <c r="B257" s="74" t="s">
        <v>23</v>
      </c>
      <c r="C257" s="74" t="s">
        <v>30</v>
      </c>
      <c r="D257" s="74" t="s">
        <v>282</v>
      </c>
      <c r="E257" s="74" t="s">
        <v>105</v>
      </c>
      <c r="F257" s="74"/>
      <c r="G257" s="75">
        <v>1400</v>
      </c>
      <c r="O257" s="80"/>
    </row>
    <row r="258" customHeight="1" spans="1:15">
      <c r="A258" s="73" t="str">
        <f t="shared" si="3"/>
        <v>苹果13默认</v>
      </c>
      <c r="B258" s="74" t="s">
        <v>23</v>
      </c>
      <c r="C258" s="74" t="s">
        <v>30</v>
      </c>
      <c r="D258" s="74" t="s">
        <v>282</v>
      </c>
      <c r="E258" s="74" t="s">
        <v>16</v>
      </c>
      <c r="F258" s="74"/>
      <c r="G258" s="75">
        <v>1400</v>
      </c>
      <c r="O258" s="80"/>
    </row>
    <row r="259" customHeight="1" spans="1:15">
      <c r="A259" s="73" t="str">
        <f t="shared" ref="A259:A322" si="4">D259&amp;E259</f>
        <v>G苹果13128G</v>
      </c>
      <c r="B259" s="74" t="s">
        <v>23</v>
      </c>
      <c r="C259" s="74" t="s">
        <v>30</v>
      </c>
      <c r="D259" s="74" t="s">
        <v>283</v>
      </c>
      <c r="E259" s="74" t="s">
        <v>103</v>
      </c>
      <c r="F259" s="74"/>
      <c r="G259" s="75">
        <v>1000</v>
      </c>
      <c r="O259" s="80"/>
    </row>
    <row r="260" customHeight="1" spans="1:15">
      <c r="A260" s="73" t="str">
        <f t="shared" si="4"/>
        <v>G苹果13256G</v>
      </c>
      <c r="B260" s="74" t="s">
        <v>23</v>
      </c>
      <c r="C260" s="74" t="s">
        <v>30</v>
      </c>
      <c r="D260" s="74" t="s">
        <v>283</v>
      </c>
      <c r="E260" s="74" t="s">
        <v>105</v>
      </c>
      <c r="F260" s="74"/>
      <c r="G260" s="75">
        <v>1000</v>
      </c>
      <c r="O260" s="80"/>
    </row>
    <row r="261" customHeight="1" spans="1:15">
      <c r="A261" s="73" t="str">
        <f t="shared" si="4"/>
        <v>G苹果13默认</v>
      </c>
      <c r="B261" s="74" t="s">
        <v>23</v>
      </c>
      <c r="C261" s="74" t="s">
        <v>30</v>
      </c>
      <c r="D261" s="74" t="s">
        <v>283</v>
      </c>
      <c r="E261" s="74" t="s">
        <v>16</v>
      </c>
      <c r="F261" s="74"/>
      <c r="G261" s="75">
        <v>1000</v>
      </c>
      <c r="O261" s="80"/>
    </row>
    <row r="262" customHeight="1" spans="1:15">
      <c r="A262" s="73" t="str">
        <f t="shared" si="4"/>
        <v>苹果13PRO128G</v>
      </c>
      <c r="B262" s="74" t="s">
        <v>23</v>
      </c>
      <c r="C262" s="74" t="s">
        <v>30</v>
      </c>
      <c r="D262" s="74" t="s">
        <v>284</v>
      </c>
      <c r="E262" s="74" t="s">
        <v>103</v>
      </c>
      <c r="F262" s="74"/>
      <c r="G262" s="75">
        <v>2000</v>
      </c>
      <c r="O262" s="80"/>
    </row>
    <row r="263" customHeight="1" spans="1:15">
      <c r="A263" s="73" t="str">
        <f t="shared" si="4"/>
        <v>苹果13PRO256G</v>
      </c>
      <c r="B263" s="74" t="s">
        <v>23</v>
      </c>
      <c r="C263" s="74" t="s">
        <v>30</v>
      </c>
      <c r="D263" s="74" t="s">
        <v>284</v>
      </c>
      <c r="E263" s="74" t="s">
        <v>105</v>
      </c>
      <c r="F263" s="74"/>
      <c r="G263" s="75">
        <v>2100</v>
      </c>
      <c r="O263" s="80"/>
    </row>
    <row r="264" customHeight="1" spans="1:15">
      <c r="A264" s="73" t="str">
        <f t="shared" si="4"/>
        <v>苹果13PRO默认</v>
      </c>
      <c r="B264" s="74" t="s">
        <v>23</v>
      </c>
      <c r="C264" s="74" t="s">
        <v>30</v>
      </c>
      <c r="D264" s="74" t="s">
        <v>284</v>
      </c>
      <c r="E264" s="74" t="s">
        <v>16</v>
      </c>
      <c r="F264" s="74"/>
      <c r="G264" s="75">
        <v>2000</v>
      </c>
      <c r="O264" s="80"/>
    </row>
    <row r="265" customHeight="1" spans="1:15">
      <c r="A265" s="73" t="str">
        <f t="shared" si="4"/>
        <v>G苹果13PRO128G</v>
      </c>
      <c r="B265" s="74" t="s">
        <v>23</v>
      </c>
      <c r="C265" s="74" t="s">
        <v>30</v>
      </c>
      <c r="D265" s="74" t="s">
        <v>285</v>
      </c>
      <c r="E265" s="74" t="s">
        <v>103</v>
      </c>
      <c r="F265" s="74"/>
      <c r="G265" s="75">
        <v>1600</v>
      </c>
      <c r="O265" s="80"/>
    </row>
    <row r="266" customHeight="1" spans="1:15">
      <c r="A266" s="73" t="str">
        <f t="shared" si="4"/>
        <v>G苹果13PRO256G</v>
      </c>
      <c r="B266" s="74" t="s">
        <v>23</v>
      </c>
      <c r="C266" s="74" t="s">
        <v>30</v>
      </c>
      <c r="D266" s="74" t="s">
        <v>285</v>
      </c>
      <c r="E266" s="74" t="s">
        <v>105</v>
      </c>
      <c r="F266" s="74"/>
      <c r="G266" s="75">
        <v>1600</v>
      </c>
      <c r="O266" s="80"/>
    </row>
    <row r="267" customHeight="1" spans="1:15">
      <c r="A267" s="73" t="str">
        <f t="shared" si="4"/>
        <v>G苹果13PRO默认</v>
      </c>
      <c r="B267" s="74" t="s">
        <v>23</v>
      </c>
      <c r="C267" s="74" t="s">
        <v>30</v>
      </c>
      <c r="D267" s="74" t="s">
        <v>285</v>
      </c>
      <c r="E267" s="74" t="s">
        <v>16</v>
      </c>
      <c r="F267" s="74"/>
      <c r="G267" s="75">
        <v>1600</v>
      </c>
      <c r="O267" s="80"/>
    </row>
    <row r="268" customHeight="1" spans="1:15">
      <c r="A268" s="73" t="str">
        <f t="shared" si="4"/>
        <v>苹果13PROMax128G</v>
      </c>
      <c r="B268" s="74" t="s">
        <v>23</v>
      </c>
      <c r="C268" s="74" t="s">
        <v>30</v>
      </c>
      <c r="D268" s="74" t="s">
        <v>286</v>
      </c>
      <c r="E268" s="74" t="s">
        <v>103</v>
      </c>
      <c r="F268" s="74"/>
      <c r="G268" s="75">
        <v>2200</v>
      </c>
      <c r="O268" s="80"/>
    </row>
    <row r="269" customHeight="1" spans="1:15">
      <c r="A269" s="73" t="str">
        <f t="shared" si="4"/>
        <v>苹果13PROMax256G</v>
      </c>
      <c r="B269" s="74" t="s">
        <v>23</v>
      </c>
      <c r="C269" s="74" t="s">
        <v>30</v>
      </c>
      <c r="D269" s="74" t="s">
        <v>286</v>
      </c>
      <c r="E269" s="74" t="s">
        <v>105</v>
      </c>
      <c r="F269" s="74"/>
      <c r="G269" s="75">
        <v>2300</v>
      </c>
      <c r="O269" s="80"/>
    </row>
    <row r="270" customHeight="1" spans="1:15">
      <c r="A270" s="73" t="str">
        <f t="shared" si="4"/>
        <v>苹果13PROMax默认</v>
      </c>
      <c r="B270" s="74" t="s">
        <v>23</v>
      </c>
      <c r="C270" s="74" t="s">
        <v>30</v>
      </c>
      <c r="D270" s="74" t="s">
        <v>286</v>
      </c>
      <c r="E270" s="74" t="s">
        <v>16</v>
      </c>
      <c r="F270" s="74"/>
      <c r="G270" s="75">
        <v>2200</v>
      </c>
      <c r="O270" s="80"/>
    </row>
    <row r="271" customHeight="1" spans="1:15">
      <c r="A271" s="73" t="str">
        <f t="shared" si="4"/>
        <v>苹果13配置默认</v>
      </c>
      <c r="B271" s="74" t="s">
        <v>23</v>
      </c>
      <c r="C271" s="74" t="s">
        <v>30</v>
      </c>
      <c r="D271" s="74" t="s">
        <v>287</v>
      </c>
      <c r="E271" s="74" t="s">
        <v>16</v>
      </c>
      <c r="F271" s="74"/>
      <c r="G271" s="75">
        <v>1000</v>
      </c>
      <c r="O271" s="80"/>
    </row>
    <row r="272" customHeight="1" spans="1:15">
      <c r="A272" s="73" t="str">
        <f t="shared" si="4"/>
        <v>苹果14128G</v>
      </c>
      <c r="B272" s="74" t="s">
        <v>23</v>
      </c>
      <c r="C272" s="74" t="s">
        <v>30</v>
      </c>
      <c r="D272" s="74" t="s">
        <v>288</v>
      </c>
      <c r="E272" s="74" t="s">
        <v>103</v>
      </c>
      <c r="F272" s="74"/>
      <c r="G272" s="75">
        <v>1800</v>
      </c>
      <c r="O272" s="80"/>
    </row>
    <row r="273" customHeight="1" spans="1:15">
      <c r="A273" s="73" t="str">
        <f t="shared" si="4"/>
        <v>苹果14256G</v>
      </c>
      <c r="B273" s="74" t="s">
        <v>23</v>
      </c>
      <c r="C273" s="74" t="s">
        <v>30</v>
      </c>
      <c r="D273" s="74" t="s">
        <v>288</v>
      </c>
      <c r="E273" s="74" t="s">
        <v>105</v>
      </c>
      <c r="F273" s="74"/>
      <c r="G273" s="75">
        <v>1900</v>
      </c>
      <c r="O273" s="80"/>
    </row>
    <row r="274" customHeight="1" spans="1:15">
      <c r="A274" s="73" t="str">
        <f t="shared" si="4"/>
        <v>苹果14默认</v>
      </c>
      <c r="B274" s="74" t="s">
        <v>23</v>
      </c>
      <c r="C274" s="74" t="s">
        <v>30</v>
      </c>
      <c r="D274" s="74" t="s">
        <v>288</v>
      </c>
      <c r="E274" s="74" t="s">
        <v>16</v>
      </c>
      <c r="F274" s="74"/>
      <c r="G274" s="75">
        <v>1800</v>
      </c>
      <c r="O274" s="80"/>
    </row>
    <row r="275" customHeight="1" spans="1:15">
      <c r="A275" s="73" t="str">
        <f t="shared" si="4"/>
        <v>苹果14plus256G</v>
      </c>
      <c r="B275" s="74" t="s">
        <v>23</v>
      </c>
      <c r="C275" s="74" t="s">
        <v>30</v>
      </c>
      <c r="D275" s="74" t="s">
        <v>289</v>
      </c>
      <c r="E275" s="74" t="s">
        <v>105</v>
      </c>
      <c r="F275" s="74"/>
      <c r="G275" s="75">
        <v>2000</v>
      </c>
      <c r="O275" s="80"/>
    </row>
    <row r="276" customHeight="1" spans="1:15">
      <c r="A276" s="73" t="str">
        <f t="shared" si="4"/>
        <v>苹果14plus默认</v>
      </c>
      <c r="B276" s="74" t="s">
        <v>23</v>
      </c>
      <c r="C276" s="74" t="s">
        <v>30</v>
      </c>
      <c r="D276" s="74" t="s">
        <v>289</v>
      </c>
      <c r="E276" s="74" t="s">
        <v>16</v>
      </c>
      <c r="F276" s="74"/>
      <c r="G276" s="75">
        <v>2000</v>
      </c>
      <c r="O276" s="80"/>
    </row>
    <row r="277" customHeight="1" spans="1:15">
      <c r="A277" s="73" t="str">
        <f t="shared" si="4"/>
        <v>苹果14PRO128G</v>
      </c>
      <c r="B277" s="74" t="s">
        <v>23</v>
      </c>
      <c r="C277" s="74" t="s">
        <v>30</v>
      </c>
      <c r="D277" s="74" t="s">
        <v>290</v>
      </c>
      <c r="E277" s="74" t="s">
        <v>103</v>
      </c>
      <c r="F277" s="74"/>
      <c r="G277" s="75">
        <v>2000</v>
      </c>
      <c r="O277" s="80"/>
    </row>
    <row r="278" customHeight="1" spans="1:15">
      <c r="A278" s="73" t="str">
        <f t="shared" si="4"/>
        <v>苹果14PRO256G</v>
      </c>
      <c r="B278" s="74" t="s">
        <v>23</v>
      </c>
      <c r="C278" s="74" t="s">
        <v>30</v>
      </c>
      <c r="D278" s="74" t="s">
        <v>290</v>
      </c>
      <c r="E278" s="74" t="s">
        <v>105</v>
      </c>
      <c r="F278" s="74"/>
      <c r="G278" s="75">
        <v>2100</v>
      </c>
      <c r="O278" s="80"/>
    </row>
    <row r="279" customHeight="1" spans="1:15">
      <c r="A279" s="73" t="str">
        <f t="shared" si="4"/>
        <v>苹果14PRO默认</v>
      </c>
      <c r="B279" s="74" t="s">
        <v>23</v>
      </c>
      <c r="C279" s="74" t="s">
        <v>30</v>
      </c>
      <c r="D279" s="74" t="s">
        <v>290</v>
      </c>
      <c r="E279" s="74" t="s">
        <v>16</v>
      </c>
      <c r="F279" s="74"/>
      <c r="G279" s="75">
        <v>2000</v>
      </c>
      <c r="O279" s="80"/>
    </row>
    <row r="280" customHeight="1" spans="1:15">
      <c r="A280" s="73" t="str">
        <f t="shared" si="4"/>
        <v>苹果14PROMax128G</v>
      </c>
      <c r="B280" s="74" t="s">
        <v>23</v>
      </c>
      <c r="C280" s="74" t="s">
        <v>30</v>
      </c>
      <c r="D280" s="74" t="s">
        <v>291</v>
      </c>
      <c r="E280" s="74" t="s">
        <v>103</v>
      </c>
      <c r="F280" s="74"/>
      <c r="G280" s="75">
        <v>2400</v>
      </c>
      <c r="O280" s="80"/>
    </row>
    <row r="281" customHeight="1" spans="1:15">
      <c r="A281" s="73" t="str">
        <f t="shared" si="4"/>
        <v>苹果14PROMax256G</v>
      </c>
      <c r="B281" s="74" t="s">
        <v>23</v>
      </c>
      <c r="C281" s="74" t="s">
        <v>30</v>
      </c>
      <c r="D281" s="74" t="s">
        <v>291</v>
      </c>
      <c r="E281" s="74" t="s">
        <v>105</v>
      </c>
      <c r="F281" s="74"/>
      <c r="G281" s="75">
        <v>2500</v>
      </c>
      <c r="O281" s="80"/>
    </row>
    <row r="282" customHeight="1" spans="1:15">
      <c r="A282" s="73" t="str">
        <f t="shared" si="4"/>
        <v>苹果14PROMax默认</v>
      </c>
      <c r="B282" s="74" t="s">
        <v>23</v>
      </c>
      <c r="C282" s="74" t="s">
        <v>30</v>
      </c>
      <c r="D282" s="74" t="s">
        <v>291</v>
      </c>
      <c r="E282" s="74" t="s">
        <v>16</v>
      </c>
      <c r="F282" s="74"/>
      <c r="G282" s="75">
        <v>2400</v>
      </c>
      <c r="O282" s="80"/>
    </row>
    <row r="283" customHeight="1" spans="1:15">
      <c r="A283" s="73" t="str">
        <f t="shared" si="4"/>
        <v>苹果15128G</v>
      </c>
      <c r="B283" s="74" t="s">
        <v>23</v>
      </c>
      <c r="C283" s="74" t="s">
        <v>30</v>
      </c>
      <c r="D283" s="74" t="s">
        <v>292</v>
      </c>
      <c r="E283" s="74" t="s">
        <v>103</v>
      </c>
      <c r="F283" s="74"/>
      <c r="G283" s="75">
        <v>2800</v>
      </c>
      <c r="O283" s="80"/>
    </row>
    <row r="284" customHeight="1" spans="1:15">
      <c r="A284" s="73" t="str">
        <f t="shared" si="4"/>
        <v>苹果15256G</v>
      </c>
      <c r="B284" s="74" t="s">
        <v>23</v>
      </c>
      <c r="C284" s="74" t="s">
        <v>30</v>
      </c>
      <c r="D284" s="74" t="s">
        <v>292</v>
      </c>
      <c r="E284" s="74" t="s">
        <v>105</v>
      </c>
      <c r="F284" s="74"/>
      <c r="G284" s="75">
        <v>2900</v>
      </c>
      <c r="O284" s="80"/>
    </row>
    <row r="285" customHeight="1" spans="1:15">
      <c r="A285" s="73" t="str">
        <f t="shared" si="4"/>
        <v>苹果15默认</v>
      </c>
      <c r="B285" s="74" t="s">
        <v>23</v>
      </c>
      <c r="C285" s="74" t="s">
        <v>30</v>
      </c>
      <c r="D285" s="74" t="s">
        <v>292</v>
      </c>
      <c r="E285" s="74" t="s">
        <v>16</v>
      </c>
      <c r="F285" s="74"/>
      <c r="G285" s="75">
        <v>2800</v>
      </c>
      <c r="O285" s="80"/>
    </row>
    <row r="286" customHeight="1" spans="1:15">
      <c r="A286" s="73" t="str">
        <f t="shared" si="4"/>
        <v>苹果15PRO128G</v>
      </c>
      <c r="B286" s="74" t="s">
        <v>23</v>
      </c>
      <c r="C286" s="74" t="s">
        <v>30</v>
      </c>
      <c r="D286" s="74" t="s">
        <v>293</v>
      </c>
      <c r="E286" s="74" t="s">
        <v>103</v>
      </c>
      <c r="F286" s="74"/>
      <c r="G286" s="75" t="s">
        <v>17</v>
      </c>
      <c r="O286" s="80"/>
    </row>
    <row r="287" customHeight="1" spans="1:15">
      <c r="A287" s="73" t="str">
        <f t="shared" si="4"/>
        <v>苹果15PRO256G</v>
      </c>
      <c r="B287" s="74" t="s">
        <v>23</v>
      </c>
      <c r="C287" s="74" t="s">
        <v>30</v>
      </c>
      <c r="D287" s="74" t="s">
        <v>293</v>
      </c>
      <c r="E287" s="74" t="s">
        <v>105</v>
      </c>
      <c r="F287" s="74"/>
      <c r="G287" s="75">
        <v>3200</v>
      </c>
      <c r="O287" s="80"/>
    </row>
    <row r="288" customHeight="1" spans="1:15">
      <c r="A288" s="73" t="str">
        <f t="shared" si="4"/>
        <v>苹果15PRO512G</v>
      </c>
      <c r="B288" s="74" t="s">
        <v>23</v>
      </c>
      <c r="C288" s="74" t="s">
        <v>30</v>
      </c>
      <c r="D288" s="74" t="s">
        <v>293</v>
      </c>
      <c r="E288" s="74" t="s">
        <v>268</v>
      </c>
      <c r="F288" s="74"/>
      <c r="G288" s="75">
        <v>3400</v>
      </c>
      <c r="O288" s="80"/>
    </row>
    <row r="289" customHeight="1" spans="1:15">
      <c r="A289" s="73" t="str">
        <f t="shared" si="4"/>
        <v>苹果15PRO默认</v>
      </c>
      <c r="B289" s="74" t="s">
        <v>23</v>
      </c>
      <c r="C289" s="74" t="s">
        <v>30</v>
      </c>
      <c r="D289" s="74" t="s">
        <v>293</v>
      </c>
      <c r="E289" s="74" t="s">
        <v>16</v>
      </c>
      <c r="F289" s="74"/>
      <c r="G289" s="75">
        <v>3200</v>
      </c>
      <c r="O289" s="80"/>
    </row>
    <row r="290" customHeight="1" spans="1:15">
      <c r="A290" s="73" t="str">
        <f t="shared" si="4"/>
        <v>苹果15PROmax256G</v>
      </c>
      <c r="B290" s="74" t="s">
        <v>23</v>
      </c>
      <c r="C290" s="74" t="s">
        <v>30</v>
      </c>
      <c r="D290" s="74" t="s">
        <v>294</v>
      </c>
      <c r="E290" s="74" t="s">
        <v>105</v>
      </c>
      <c r="F290" s="74"/>
      <c r="G290" s="75">
        <v>3800</v>
      </c>
      <c r="O290" s="80"/>
    </row>
    <row r="291" customHeight="1" spans="1:15">
      <c r="A291" s="73" t="str">
        <f t="shared" si="4"/>
        <v>苹果15PROmax512G</v>
      </c>
      <c r="B291" s="74" t="s">
        <v>23</v>
      </c>
      <c r="C291" s="74" t="s">
        <v>30</v>
      </c>
      <c r="D291" s="74" t="s">
        <v>294</v>
      </c>
      <c r="E291" s="74" t="s">
        <v>268</v>
      </c>
      <c r="F291" s="74"/>
      <c r="G291" s="75">
        <v>4000</v>
      </c>
      <c r="O291" s="80"/>
    </row>
    <row r="292" customHeight="1" spans="1:15">
      <c r="A292" s="73" t="str">
        <f t="shared" si="4"/>
        <v>苹果15PROmax默认</v>
      </c>
      <c r="B292" s="74" t="s">
        <v>23</v>
      </c>
      <c r="C292" s="74" t="s">
        <v>30</v>
      </c>
      <c r="D292" s="74" t="s">
        <v>294</v>
      </c>
      <c r="E292" s="74" t="s">
        <v>16</v>
      </c>
      <c r="F292" s="74"/>
      <c r="G292" s="75">
        <v>3800</v>
      </c>
      <c r="O292" s="80"/>
    </row>
    <row r="293" customHeight="1" spans="1:15">
      <c r="A293" s="73" t="str">
        <f t="shared" si="4"/>
        <v>苹果16128G</v>
      </c>
      <c r="B293" s="74" t="s">
        <v>23</v>
      </c>
      <c r="C293" s="74" t="s">
        <v>30</v>
      </c>
      <c r="D293" s="74" t="s">
        <v>295</v>
      </c>
      <c r="E293" s="74" t="s">
        <v>103</v>
      </c>
      <c r="F293" s="74"/>
      <c r="G293" s="75" t="s">
        <v>17</v>
      </c>
      <c r="O293" s="80"/>
    </row>
    <row r="294" customHeight="1" spans="1:15">
      <c r="A294" s="73" t="str">
        <f t="shared" si="4"/>
        <v>苹果16256G</v>
      </c>
      <c r="B294" s="74" t="s">
        <v>23</v>
      </c>
      <c r="C294" s="74" t="s">
        <v>30</v>
      </c>
      <c r="D294" s="74" t="s">
        <v>295</v>
      </c>
      <c r="E294" s="74" t="s">
        <v>105</v>
      </c>
      <c r="F294" s="74"/>
      <c r="G294" s="75" t="s">
        <v>17</v>
      </c>
      <c r="O294" s="80"/>
    </row>
    <row r="295" customHeight="1" spans="1:15">
      <c r="A295" s="73" t="str">
        <f t="shared" si="4"/>
        <v>苹果16512G</v>
      </c>
      <c r="B295" s="74" t="s">
        <v>23</v>
      </c>
      <c r="C295" s="74" t="s">
        <v>30</v>
      </c>
      <c r="D295" s="74" t="s">
        <v>295</v>
      </c>
      <c r="E295" s="74" t="s">
        <v>268</v>
      </c>
      <c r="F295" s="74"/>
      <c r="G295" s="75" t="s">
        <v>17</v>
      </c>
      <c r="O295" s="80"/>
    </row>
    <row r="296" customHeight="1" spans="1:15">
      <c r="A296" s="73" t="str">
        <f t="shared" si="4"/>
        <v>苹果16默认</v>
      </c>
      <c r="B296" s="74" t="s">
        <v>23</v>
      </c>
      <c r="C296" s="74" t="s">
        <v>30</v>
      </c>
      <c r="D296" s="74" t="s">
        <v>295</v>
      </c>
      <c r="E296" s="74" t="s">
        <v>16</v>
      </c>
      <c r="F296" s="74"/>
      <c r="G296" s="75" t="s">
        <v>17</v>
      </c>
      <c r="O296" s="80"/>
    </row>
    <row r="297" customHeight="1" spans="1:15">
      <c r="A297" s="73" t="str">
        <f t="shared" si="4"/>
        <v>苹果16PRO128G</v>
      </c>
      <c r="B297" s="74" t="s">
        <v>23</v>
      </c>
      <c r="C297" s="74" t="s">
        <v>30</v>
      </c>
      <c r="D297" s="74" t="s">
        <v>296</v>
      </c>
      <c r="E297" s="74" t="s">
        <v>103</v>
      </c>
      <c r="F297" s="74"/>
      <c r="G297" s="75" t="s">
        <v>17</v>
      </c>
      <c r="O297" s="80"/>
    </row>
    <row r="298" customHeight="1" spans="1:15">
      <c r="A298" s="73" t="str">
        <f t="shared" si="4"/>
        <v>苹果16PRO256G</v>
      </c>
      <c r="B298" s="74" t="s">
        <v>23</v>
      </c>
      <c r="C298" s="74" t="s">
        <v>30</v>
      </c>
      <c r="D298" s="74" t="s">
        <v>296</v>
      </c>
      <c r="E298" s="74" t="s">
        <v>105</v>
      </c>
      <c r="F298" s="74"/>
      <c r="G298" s="75" t="s">
        <v>17</v>
      </c>
      <c r="O298" s="80"/>
    </row>
    <row r="299" customHeight="1" spans="1:15">
      <c r="A299" s="73" t="str">
        <f t="shared" si="4"/>
        <v>苹果16PRO512G</v>
      </c>
      <c r="B299" s="74" t="s">
        <v>23</v>
      </c>
      <c r="C299" s="74" t="s">
        <v>30</v>
      </c>
      <c r="D299" s="74" t="s">
        <v>296</v>
      </c>
      <c r="E299" s="74" t="s">
        <v>268</v>
      </c>
      <c r="F299" s="74"/>
      <c r="G299" s="75" t="s">
        <v>17</v>
      </c>
      <c r="O299" s="80"/>
    </row>
    <row r="300" customHeight="1" spans="1:15">
      <c r="A300" s="73" t="str">
        <f t="shared" si="4"/>
        <v>苹果16PRO默认</v>
      </c>
      <c r="B300" s="74" t="s">
        <v>23</v>
      </c>
      <c r="C300" s="74" t="s">
        <v>30</v>
      </c>
      <c r="D300" s="74" t="s">
        <v>296</v>
      </c>
      <c r="E300" s="74" t="s">
        <v>16</v>
      </c>
      <c r="F300" s="74"/>
      <c r="G300" s="75" t="s">
        <v>17</v>
      </c>
      <c r="O300" s="80"/>
    </row>
    <row r="301" customHeight="1" spans="1:15">
      <c r="A301" s="73" t="str">
        <f t="shared" si="4"/>
        <v>苹果16PROmax256G</v>
      </c>
      <c r="B301" s="74" t="s">
        <v>23</v>
      </c>
      <c r="C301" s="74" t="s">
        <v>30</v>
      </c>
      <c r="D301" s="74" t="s">
        <v>297</v>
      </c>
      <c r="E301" s="74" t="s">
        <v>105</v>
      </c>
      <c r="F301" s="74"/>
      <c r="G301" s="75" t="s">
        <v>17</v>
      </c>
      <c r="O301" s="80"/>
    </row>
    <row r="302" customHeight="1" spans="1:15">
      <c r="A302" s="73" t="str">
        <f t="shared" si="4"/>
        <v>苹果16PROmax512G</v>
      </c>
      <c r="B302" s="74" t="s">
        <v>23</v>
      </c>
      <c r="C302" s="74" t="s">
        <v>30</v>
      </c>
      <c r="D302" s="74" t="s">
        <v>297</v>
      </c>
      <c r="E302" s="74" t="s">
        <v>268</v>
      </c>
      <c r="F302" s="74"/>
      <c r="G302" s="75" t="s">
        <v>17</v>
      </c>
      <c r="O302" s="80"/>
    </row>
    <row r="303" customHeight="1" spans="1:15">
      <c r="A303" s="73" t="str">
        <f t="shared" si="4"/>
        <v>苹果16PROmax默认</v>
      </c>
      <c r="B303" s="74" t="s">
        <v>23</v>
      </c>
      <c r="C303" s="74" t="s">
        <v>30</v>
      </c>
      <c r="D303" s="74" t="s">
        <v>297</v>
      </c>
      <c r="E303" s="74" t="s">
        <v>16</v>
      </c>
      <c r="F303" s="74"/>
      <c r="G303" s="75" t="s">
        <v>17</v>
      </c>
      <c r="O303" s="80"/>
    </row>
    <row r="304" customHeight="1" spans="1:15">
      <c r="A304" s="73" t="str">
        <f t="shared" si="4"/>
        <v>苹果17默认</v>
      </c>
      <c r="B304" s="74" t="s">
        <v>23</v>
      </c>
      <c r="C304" s="74" t="s">
        <v>30</v>
      </c>
      <c r="D304" s="74" t="s">
        <v>298</v>
      </c>
      <c r="E304" s="74" t="s">
        <v>16</v>
      </c>
      <c r="F304" s="74"/>
      <c r="G304" s="75" t="s">
        <v>17</v>
      </c>
      <c r="O304" s="80"/>
    </row>
    <row r="305" customHeight="1" spans="1:15">
      <c r="A305" s="73" t="str">
        <f t="shared" si="4"/>
        <v>苹果17PRO默认</v>
      </c>
      <c r="B305" s="74" t="s">
        <v>23</v>
      </c>
      <c r="C305" s="74" t="s">
        <v>30</v>
      </c>
      <c r="D305" s="74" t="s">
        <v>299</v>
      </c>
      <c r="E305" s="74" t="s">
        <v>16</v>
      </c>
      <c r="F305" s="74"/>
      <c r="G305" s="75" t="s">
        <v>17</v>
      </c>
      <c r="O305" s="80"/>
    </row>
    <row r="306" customHeight="1" spans="1:15">
      <c r="A306" s="73" t="str">
        <f t="shared" si="4"/>
        <v>苹果17PROMAX256G</v>
      </c>
      <c r="B306" s="74" t="s">
        <v>23</v>
      </c>
      <c r="C306" s="74" t="s">
        <v>30</v>
      </c>
      <c r="D306" s="74" t="s">
        <v>300</v>
      </c>
      <c r="E306" s="74" t="s">
        <v>105</v>
      </c>
      <c r="F306" s="74"/>
      <c r="G306" s="75" t="s">
        <v>17</v>
      </c>
      <c r="O306" s="80"/>
    </row>
    <row r="307" customHeight="1" spans="1:15">
      <c r="A307" s="73" t="str">
        <f t="shared" si="4"/>
        <v>苹果17PROMAX默认</v>
      </c>
      <c r="B307" s="74" t="s">
        <v>23</v>
      </c>
      <c r="C307" s="74" t="s">
        <v>30</v>
      </c>
      <c r="D307" s="74" t="s">
        <v>300</v>
      </c>
      <c r="E307" s="74" t="s">
        <v>16</v>
      </c>
      <c r="F307" s="74"/>
      <c r="G307" s="75" t="s">
        <v>17</v>
      </c>
      <c r="O307" s="80"/>
    </row>
    <row r="308" customHeight="1" spans="1:15">
      <c r="A308" s="73" t="str">
        <f t="shared" si="4"/>
        <v>苹果6默认</v>
      </c>
      <c r="B308" s="74" t="s">
        <v>23</v>
      </c>
      <c r="C308" s="74" t="s">
        <v>30</v>
      </c>
      <c r="D308" s="74" t="s">
        <v>301</v>
      </c>
      <c r="E308" s="74" t="s">
        <v>16</v>
      </c>
      <c r="F308" s="74"/>
      <c r="G308" s="75">
        <v>50</v>
      </c>
      <c r="O308" s="80"/>
    </row>
    <row r="309" customHeight="1" spans="1:15">
      <c r="A309" s="73" t="str">
        <f t="shared" si="4"/>
        <v>苹果6P默认</v>
      </c>
      <c r="B309" s="74" t="s">
        <v>23</v>
      </c>
      <c r="C309" s="74" t="s">
        <v>30</v>
      </c>
      <c r="D309" s="74" t="s">
        <v>302</v>
      </c>
      <c r="E309" s="74" t="s">
        <v>16</v>
      </c>
      <c r="F309" s="74"/>
      <c r="G309" s="75">
        <v>50</v>
      </c>
      <c r="O309" s="80"/>
    </row>
    <row r="310" customHeight="1" spans="1:15">
      <c r="A310" s="73" t="str">
        <f t="shared" si="4"/>
        <v>苹果6P配置默认</v>
      </c>
      <c r="B310" s="74" t="s">
        <v>23</v>
      </c>
      <c r="C310" s="74" t="s">
        <v>30</v>
      </c>
      <c r="D310" s="74" t="s">
        <v>303</v>
      </c>
      <c r="E310" s="74" t="s">
        <v>16</v>
      </c>
      <c r="F310" s="74"/>
      <c r="G310" s="75">
        <v>50</v>
      </c>
      <c r="O310" s="80"/>
    </row>
    <row r="311" customHeight="1" spans="1:15">
      <c r="A311" s="73" t="str">
        <f t="shared" si="4"/>
        <v>苹果6P有锁默认</v>
      </c>
      <c r="B311" s="74" t="s">
        <v>23</v>
      </c>
      <c r="C311" s="74" t="s">
        <v>30</v>
      </c>
      <c r="D311" s="74" t="s">
        <v>304</v>
      </c>
      <c r="E311" s="74" t="s">
        <v>16</v>
      </c>
      <c r="F311" s="74"/>
      <c r="G311" s="75">
        <v>50</v>
      </c>
      <c r="O311" s="80"/>
    </row>
    <row r="312" customHeight="1" spans="1:15">
      <c r="A312" s="73" t="str">
        <f t="shared" si="4"/>
        <v>苹果6S默认</v>
      </c>
      <c r="B312" s="74" t="s">
        <v>23</v>
      </c>
      <c r="C312" s="74" t="s">
        <v>30</v>
      </c>
      <c r="D312" s="74" t="s">
        <v>305</v>
      </c>
      <c r="E312" s="74" t="s">
        <v>16</v>
      </c>
      <c r="F312" s="74"/>
      <c r="G312" s="75">
        <v>100</v>
      </c>
      <c r="O312" s="80"/>
    </row>
    <row r="313" customHeight="1" spans="1:15">
      <c r="A313" s="73" t="str">
        <f t="shared" si="4"/>
        <v>苹果6SP默认</v>
      </c>
      <c r="B313" s="74" t="s">
        <v>23</v>
      </c>
      <c r="C313" s="74" t="s">
        <v>30</v>
      </c>
      <c r="D313" s="74" t="s">
        <v>306</v>
      </c>
      <c r="E313" s="74" t="s">
        <v>16</v>
      </c>
      <c r="F313" s="74"/>
      <c r="G313" s="75">
        <v>100</v>
      </c>
      <c r="O313" s="80"/>
    </row>
    <row r="314" customHeight="1" spans="1:15">
      <c r="A314" s="73" t="str">
        <f t="shared" si="4"/>
        <v>苹果6SP配置默认</v>
      </c>
      <c r="B314" s="74" t="s">
        <v>23</v>
      </c>
      <c r="C314" s="74" t="s">
        <v>30</v>
      </c>
      <c r="D314" s="74" t="s">
        <v>307</v>
      </c>
      <c r="E314" s="74" t="s">
        <v>16</v>
      </c>
      <c r="F314" s="74"/>
      <c r="G314" s="75">
        <v>80</v>
      </c>
      <c r="O314" s="80"/>
    </row>
    <row r="315" customHeight="1" spans="1:15">
      <c r="A315" s="73" t="str">
        <f t="shared" si="4"/>
        <v>苹果6SP有锁默认</v>
      </c>
      <c r="B315" s="74" t="s">
        <v>23</v>
      </c>
      <c r="C315" s="74" t="s">
        <v>30</v>
      </c>
      <c r="D315" s="74" t="s">
        <v>308</v>
      </c>
      <c r="E315" s="74" t="s">
        <v>16</v>
      </c>
      <c r="F315" s="74"/>
      <c r="G315" s="75">
        <v>80</v>
      </c>
      <c r="O315" s="80"/>
    </row>
    <row r="316" customHeight="1" spans="1:15">
      <c r="A316" s="73" t="str">
        <f t="shared" si="4"/>
        <v>苹果6S配置默认</v>
      </c>
      <c r="B316" s="74" t="s">
        <v>23</v>
      </c>
      <c r="C316" s="74" t="s">
        <v>30</v>
      </c>
      <c r="D316" s="74" t="s">
        <v>309</v>
      </c>
      <c r="E316" s="74" t="s">
        <v>16</v>
      </c>
      <c r="F316" s="74"/>
      <c r="G316" s="75">
        <v>80</v>
      </c>
      <c r="O316" s="80"/>
    </row>
    <row r="317" customHeight="1" spans="1:15">
      <c r="A317" s="73" t="str">
        <f t="shared" si="4"/>
        <v>苹果6s信号机默认</v>
      </c>
      <c r="B317" s="74" t="s">
        <v>23</v>
      </c>
      <c r="C317" s="74" t="s">
        <v>30</v>
      </c>
      <c r="D317" s="74" t="s">
        <v>310</v>
      </c>
      <c r="E317" s="74" t="s">
        <v>16</v>
      </c>
      <c r="F317" s="74"/>
      <c r="G317" s="75">
        <v>30</v>
      </c>
      <c r="O317" s="80"/>
    </row>
    <row r="318" customHeight="1" spans="1:15">
      <c r="A318" s="73" t="str">
        <f t="shared" si="4"/>
        <v>苹果6S有锁默认</v>
      </c>
      <c r="B318" s="74" t="s">
        <v>23</v>
      </c>
      <c r="C318" s="74" t="s">
        <v>30</v>
      </c>
      <c r="D318" s="74" t="s">
        <v>311</v>
      </c>
      <c r="E318" s="74" t="s">
        <v>16</v>
      </c>
      <c r="F318" s="74"/>
      <c r="G318" s="75">
        <v>80</v>
      </c>
      <c r="O318" s="80"/>
    </row>
    <row r="319" customHeight="1" spans="1:15">
      <c r="A319" s="73" t="str">
        <f t="shared" si="4"/>
        <v>苹果7128G</v>
      </c>
      <c r="B319" s="74" t="s">
        <v>23</v>
      </c>
      <c r="C319" s="74" t="s">
        <v>30</v>
      </c>
      <c r="D319" s="74" t="s">
        <v>312</v>
      </c>
      <c r="E319" s="74" t="s">
        <v>103</v>
      </c>
      <c r="F319" s="74"/>
      <c r="G319" s="75">
        <v>200</v>
      </c>
      <c r="O319" s="80"/>
    </row>
    <row r="320" customHeight="1" spans="1:15">
      <c r="A320" s="73" t="str">
        <f t="shared" si="4"/>
        <v>苹果7默认</v>
      </c>
      <c r="B320" s="74" t="s">
        <v>23</v>
      </c>
      <c r="C320" s="74" t="s">
        <v>30</v>
      </c>
      <c r="D320" s="74" t="s">
        <v>312</v>
      </c>
      <c r="E320" s="74" t="s">
        <v>16</v>
      </c>
      <c r="F320" s="74"/>
      <c r="G320" s="75">
        <v>190</v>
      </c>
      <c r="O320" s="80"/>
    </row>
    <row r="321" customHeight="1" spans="1:15">
      <c r="A321" s="73" t="str">
        <f t="shared" si="4"/>
        <v>苹果7P默认</v>
      </c>
      <c r="B321" s="74" t="s">
        <v>23</v>
      </c>
      <c r="C321" s="74" t="s">
        <v>30</v>
      </c>
      <c r="D321" s="74" t="s">
        <v>313</v>
      </c>
      <c r="E321" s="74" t="s">
        <v>16</v>
      </c>
      <c r="F321" s="74"/>
      <c r="G321" s="75">
        <v>200</v>
      </c>
      <c r="O321" s="80"/>
    </row>
    <row r="322" customHeight="1" spans="1:15">
      <c r="A322" s="73" t="str">
        <f t="shared" si="4"/>
        <v>苹果7P信号机默认</v>
      </c>
      <c r="B322" s="74" t="s">
        <v>23</v>
      </c>
      <c r="C322" s="74" t="s">
        <v>30</v>
      </c>
      <c r="D322" s="74" t="s">
        <v>314</v>
      </c>
      <c r="E322" s="74" t="s">
        <v>16</v>
      </c>
      <c r="F322" s="74"/>
      <c r="G322" s="75">
        <v>100</v>
      </c>
      <c r="O322" s="80"/>
    </row>
    <row r="323" customHeight="1" spans="1:15">
      <c r="A323" s="73" t="str">
        <f t="shared" ref="A323:A386" si="5">D323&amp;E323</f>
        <v>苹果7P有锁默认</v>
      </c>
      <c r="B323" s="74" t="s">
        <v>23</v>
      </c>
      <c r="C323" s="74" t="s">
        <v>30</v>
      </c>
      <c r="D323" s="74" t="s">
        <v>315</v>
      </c>
      <c r="E323" s="74" t="s">
        <v>16</v>
      </c>
      <c r="F323" s="74"/>
      <c r="G323" s="75">
        <v>150</v>
      </c>
      <c r="O323" s="80"/>
    </row>
    <row r="324" customHeight="1" spans="1:15">
      <c r="A324" s="73" t="str">
        <f t="shared" si="5"/>
        <v>苹果7配置默认</v>
      </c>
      <c r="B324" s="74" t="s">
        <v>23</v>
      </c>
      <c r="C324" s="74" t="s">
        <v>30</v>
      </c>
      <c r="D324" s="74" t="s">
        <v>316</v>
      </c>
      <c r="E324" s="74" t="s">
        <v>16</v>
      </c>
      <c r="F324" s="74"/>
      <c r="G324" s="75">
        <v>150</v>
      </c>
      <c r="O324" s="80"/>
    </row>
    <row r="325" customHeight="1" spans="1:15">
      <c r="A325" s="73" t="str">
        <f t="shared" si="5"/>
        <v>苹果7信号机默认</v>
      </c>
      <c r="B325" s="74" t="s">
        <v>23</v>
      </c>
      <c r="C325" s="74" t="s">
        <v>30</v>
      </c>
      <c r="D325" s="74" t="s">
        <v>317</v>
      </c>
      <c r="E325" s="74" t="s">
        <v>16</v>
      </c>
      <c r="F325" s="74"/>
      <c r="G325" s="75">
        <v>100</v>
      </c>
      <c r="O325" s="80"/>
    </row>
    <row r="326" customHeight="1" spans="1:15">
      <c r="A326" s="73" t="str">
        <f t="shared" si="5"/>
        <v>苹果7有锁默认</v>
      </c>
      <c r="B326" s="74" t="s">
        <v>23</v>
      </c>
      <c r="C326" s="74" t="s">
        <v>30</v>
      </c>
      <c r="D326" s="74" t="s">
        <v>318</v>
      </c>
      <c r="E326" s="74" t="s">
        <v>16</v>
      </c>
      <c r="F326" s="74"/>
      <c r="G326" s="75">
        <v>150</v>
      </c>
      <c r="O326" s="80"/>
    </row>
    <row r="327" customHeight="1" spans="1:15">
      <c r="A327" s="73" t="str">
        <f t="shared" si="5"/>
        <v>苹果864G</v>
      </c>
      <c r="B327" s="74" t="s">
        <v>23</v>
      </c>
      <c r="C327" s="74" t="s">
        <v>30</v>
      </c>
      <c r="D327" s="74" t="s">
        <v>319</v>
      </c>
      <c r="E327" s="74" t="s">
        <v>266</v>
      </c>
      <c r="F327" s="74"/>
      <c r="G327" s="75">
        <v>260</v>
      </c>
      <c r="O327" s="80"/>
    </row>
    <row r="328" customHeight="1" spans="1:15">
      <c r="A328" s="73" t="str">
        <f t="shared" si="5"/>
        <v>苹果8默认</v>
      </c>
      <c r="B328" s="74" t="s">
        <v>23</v>
      </c>
      <c r="C328" s="74" t="s">
        <v>30</v>
      </c>
      <c r="D328" s="74" t="s">
        <v>319</v>
      </c>
      <c r="E328" s="74" t="s">
        <v>16</v>
      </c>
      <c r="F328" s="74"/>
      <c r="G328" s="75">
        <v>260</v>
      </c>
      <c r="O328" s="80"/>
    </row>
    <row r="329" customHeight="1" spans="1:15">
      <c r="A329" s="73" t="str">
        <f t="shared" si="5"/>
        <v>苹果8P256G</v>
      </c>
      <c r="B329" s="74" t="s">
        <v>23</v>
      </c>
      <c r="C329" s="74" t="s">
        <v>30</v>
      </c>
      <c r="D329" s="74" t="s">
        <v>320</v>
      </c>
      <c r="E329" s="74" t="s">
        <v>105</v>
      </c>
      <c r="F329" s="74"/>
      <c r="G329" s="75">
        <v>300</v>
      </c>
      <c r="O329" s="80"/>
    </row>
    <row r="330" customHeight="1" spans="1:15">
      <c r="A330" s="73" t="str">
        <f t="shared" si="5"/>
        <v>苹果8P64G</v>
      </c>
      <c r="B330" s="74" t="s">
        <v>23</v>
      </c>
      <c r="C330" s="74" t="s">
        <v>30</v>
      </c>
      <c r="D330" s="74" t="s">
        <v>320</v>
      </c>
      <c r="E330" s="74" t="s">
        <v>266</v>
      </c>
      <c r="F330" s="74"/>
      <c r="G330" s="75">
        <v>280</v>
      </c>
      <c r="O330" s="80"/>
    </row>
    <row r="331" customHeight="1" spans="1:15">
      <c r="A331" s="73" t="str">
        <f t="shared" si="5"/>
        <v>苹果8P默认</v>
      </c>
      <c r="B331" s="74" t="s">
        <v>23</v>
      </c>
      <c r="C331" s="74" t="s">
        <v>30</v>
      </c>
      <c r="D331" s="74" t="s">
        <v>320</v>
      </c>
      <c r="E331" s="74" t="s">
        <v>16</v>
      </c>
      <c r="F331" s="74"/>
      <c r="G331" s="75">
        <v>280</v>
      </c>
      <c r="O331" s="80"/>
    </row>
    <row r="332" customHeight="1" spans="1:15">
      <c r="A332" s="73" t="str">
        <f t="shared" si="5"/>
        <v>苹果8P配置默认</v>
      </c>
      <c r="B332" s="74" t="s">
        <v>23</v>
      </c>
      <c r="C332" s="74" t="s">
        <v>30</v>
      </c>
      <c r="D332" s="74" t="s">
        <v>321</v>
      </c>
      <c r="E332" s="74" t="s">
        <v>16</v>
      </c>
      <c r="F332" s="74"/>
      <c r="G332" s="75">
        <v>230</v>
      </c>
      <c r="O332" s="80"/>
    </row>
    <row r="333" customHeight="1" spans="1:15">
      <c r="A333" s="73" t="str">
        <f t="shared" si="5"/>
        <v>苹果8P有锁64G</v>
      </c>
      <c r="B333" s="74" t="s">
        <v>23</v>
      </c>
      <c r="C333" s="74" t="s">
        <v>30</v>
      </c>
      <c r="D333" s="74" t="s">
        <v>322</v>
      </c>
      <c r="E333" s="74" t="s">
        <v>266</v>
      </c>
      <c r="F333" s="74"/>
      <c r="G333" s="75">
        <v>230</v>
      </c>
      <c r="O333" s="80"/>
    </row>
    <row r="334" customHeight="1" spans="1:15">
      <c r="A334" s="73" t="str">
        <f t="shared" si="5"/>
        <v>苹果8P有锁默认</v>
      </c>
      <c r="B334" s="74" t="s">
        <v>23</v>
      </c>
      <c r="C334" s="74" t="s">
        <v>30</v>
      </c>
      <c r="D334" s="74" t="s">
        <v>322</v>
      </c>
      <c r="E334" s="74" t="s">
        <v>16</v>
      </c>
      <c r="F334" s="74"/>
      <c r="G334" s="75">
        <v>230</v>
      </c>
      <c r="O334" s="80"/>
    </row>
    <row r="335" customHeight="1" spans="1:15">
      <c r="A335" s="73" t="str">
        <f t="shared" si="5"/>
        <v>苹果8零项目默认</v>
      </c>
      <c r="B335" s="74" t="s">
        <v>23</v>
      </c>
      <c r="C335" s="74" t="s">
        <v>30</v>
      </c>
      <c r="D335" s="74" t="s">
        <v>323</v>
      </c>
      <c r="E335" s="74" t="s">
        <v>16</v>
      </c>
      <c r="F335" s="74"/>
      <c r="G335" s="75">
        <v>400</v>
      </c>
      <c r="O335" s="80"/>
    </row>
    <row r="336" customHeight="1" spans="1:15">
      <c r="A336" s="73" t="str">
        <f t="shared" si="5"/>
        <v>苹果8配置64G</v>
      </c>
      <c r="B336" s="74" t="s">
        <v>23</v>
      </c>
      <c r="C336" s="74" t="s">
        <v>30</v>
      </c>
      <c r="D336" s="74" t="s">
        <v>324</v>
      </c>
      <c r="E336" s="74" t="s">
        <v>266</v>
      </c>
      <c r="F336" s="74"/>
      <c r="G336" s="75">
        <v>230</v>
      </c>
      <c r="O336" s="80"/>
    </row>
    <row r="337" customHeight="1" spans="1:15">
      <c r="A337" s="73" t="str">
        <f t="shared" si="5"/>
        <v>苹果8配置默认</v>
      </c>
      <c r="B337" s="74" t="s">
        <v>23</v>
      </c>
      <c r="C337" s="74" t="s">
        <v>30</v>
      </c>
      <c r="D337" s="74" t="s">
        <v>324</v>
      </c>
      <c r="E337" s="74" t="s">
        <v>16</v>
      </c>
      <c r="F337" s="74"/>
      <c r="G337" s="75">
        <v>230</v>
      </c>
      <c r="O337" s="80"/>
    </row>
    <row r="338" customHeight="1" spans="1:15">
      <c r="A338" s="73" t="str">
        <f t="shared" si="5"/>
        <v>苹果8配置有锁默认</v>
      </c>
      <c r="B338" s="74" t="s">
        <v>23</v>
      </c>
      <c r="C338" s="74" t="s">
        <v>30</v>
      </c>
      <c r="D338" s="74" t="s">
        <v>325</v>
      </c>
      <c r="E338" s="74" t="s">
        <v>16</v>
      </c>
      <c r="F338" s="74"/>
      <c r="G338" s="75">
        <v>200</v>
      </c>
      <c r="O338" s="80"/>
    </row>
    <row r="339" customHeight="1" spans="1:15">
      <c r="A339" s="73" t="str">
        <f t="shared" si="5"/>
        <v>苹果8有锁256G</v>
      </c>
      <c r="B339" s="74" t="s">
        <v>23</v>
      </c>
      <c r="C339" s="74" t="s">
        <v>30</v>
      </c>
      <c r="D339" s="74" t="s">
        <v>326</v>
      </c>
      <c r="E339" s="74" t="s">
        <v>105</v>
      </c>
      <c r="F339" s="74"/>
      <c r="G339" s="75">
        <v>220</v>
      </c>
      <c r="O339" s="80"/>
    </row>
    <row r="340" customHeight="1" spans="1:15">
      <c r="A340" s="73" t="str">
        <f t="shared" si="5"/>
        <v>苹果8有锁64G</v>
      </c>
      <c r="B340" s="74" t="s">
        <v>23</v>
      </c>
      <c r="C340" s="74" t="s">
        <v>30</v>
      </c>
      <c r="D340" s="74" t="s">
        <v>326</v>
      </c>
      <c r="E340" s="74" t="s">
        <v>266</v>
      </c>
      <c r="F340" s="74"/>
      <c r="G340" s="75">
        <v>220</v>
      </c>
      <c r="O340" s="80"/>
    </row>
    <row r="341" customHeight="1" spans="1:15">
      <c r="A341" s="73" t="str">
        <f t="shared" si="5"/>
        <v>苹果8有锁默认</v>
      </c>
      <c r="B341" s="74" t="s">
        <v>23</v>
      </c>
      <c r="C341" s="74" t="s">
        <v>30</v>
      </c>
      <c r="D341" s="74" t="s">
        <v>326</v>
      </c>
      <c r="E341" s="74" t="s">
        <v>16</v>
      </c>
      <c r="F341" s="74"/>
      <c r="G341" s="75">
        <v>220</v>
      </c>
      <c r="O341" s="80"/>
    </row>
    <row r="342" customHeight="1" spans="1:15">
      <c r="A342" s="73" t="str">
        <f t="shared" si="5"/>
        <v>苹果SE20项目</v>
      </c>
      <c r="B342" s="74" t="s">
        <v>23</v>
      </c>
      <c r="C342" s="74" t="s">
        <v>30</v>
      </c>
      <c r="D342" s="74" t="s">
        <v>327</v>
      </c>
      <c r="E342" s="74" t="s">
        <v>328</v>
      </c>
      <c r="F342" s="74"/>
      <c r="G342" s="75">
        <v>440</v>
      </c>
      <c r="O342" s="80"/>
    </row>
    <row r="343" customHeight="1" spans="1:15">
      <c r="A343" s="73" t="str">
        <f t="shared" si="5"/>
        <v>苹果SE2IM</v>
      </c>
      <c r="B343" s="74" t="s">
        <v>23</v>
      </c>
      <c r="C343" s="74" t="s">
        <v>30</v>
      </c>
      <c r="D343" s="74" t="s">
        <v>327</v>
      </c>
      <c r="E343" s="74" t="s">
        <v>329</v>
      </c>
      <c r="F343" s="74"/>
      <c r="G343" s="75">
        <v>380</v>
      </c>
      <c r="O343" s="80"/>
    </row>
    <row r="344" customHeight="1" spans="1:15">
      <c r="A344" s="73" t="str">
        <f t="shared" si="5"/>
        <v>苹果SE2可做IM</v>
      </c>
      <c r="B344" s="74" t="s">
        <v>23</v>
      </c>
      <c r="C344" s="74" t="s">
        <v>30</v>
      </c>
      <c r="D344" s="74" t="s">
        <v>327</v>
      </c>
      <c r="E344" s="74" t="s">
        <v>330</v>
      </c>
      <c r="F344" s="74"/>
      <c r="G344" s="75">
        <v>380</v>
      </c>
      <c r="O344" s="80"/>
    </row>
    <row r="345" customHeight="1" spans="1:15">
      <c r="A345" s="73" t="str">
        <f t="shared" si="5"/>
        <v>苹果SE2可做NFC</v>
      </c>
      <c r="B345" s="74" t="s">
        <v>23</v>
      </c>
      <c r="C345" s="74" t="s">
        <v>30</v>
      </c>
      <c r="D345" s="74" t="s">
        <v>327</v>
      </c>
      <c r="E345" s="74" t="s">
        <v>331</v>
      </c>
      <c r="F345" s="74"/>
      <c r="G345" s="75">
        <v>380</v>
      </c>
      <c r="O345" s="80"/>
    </row>
    <row r="346" customHeight="1" spans="1:15">
      <c r="A346" s="73" t="str">
        <f t="shared" si="5"/>
        <v>苹果SE2默认</v>
      </c>
      <c r="B346" s="74" t="s">
        <v>23</v>
      </c>
      <c r="C346" s="74" t="s">
        <v>30</v>
      </c>
      <c r="D346" s="74" t="s">
        <v>327</v>
      </c>
      <c r="E346" s="74" t="s">
        <v>16</v>
      </c>
      <c r="F346" s="74"/>
      <c r="G346" s="75">
        <v>360</v>
      </c>
      <c r="O346" s="80"/>
    </row>
    <row r="347" customHeight="1" spans="1:15">
      <c r="A347" s="73" t="str">
        <f t="shared" si="5"/>
        <v>苹果SE2非零默认</v>
      </c>
      <c r="B347" s="74" t="s">
        <v>23</v>
      </c>
      <c r="C347" s="74" t="s">
        <v>30</v>
      </c>
      <c r="D347" s="74" t="s">
        <v>332</v>
      </c>
      <c r="E347" s="74" t="s">
        <v>16</v>
      </c>
      <c r="F347" s="74"/>
      <c r="G347" s="75">
        <v>360</v>
      </c>
      <c r="O347" s="80"/>
    </row>
    <row r="348" customHeight="1" spans="1:15">
      <c r="A348" s="73" t="str">
        <f t="shared" si="5"/>
        <v>苹果SE2零项目默认</v>
      </c>
      <c r="B348" s="74" t="s">
        <v>23</v>
      </c>
      <c r="C348" s="74" t="s">
        <v>30</v>
      </c>
      <c r="D348" s="74" t="s">
        <v>333</v>
      </c>
      <c r="E348" s="74" t="s">
        <v>16</v>
      </c>
      <c r="F348" s="74"/>
      <c r="G348" s="75">
        <v>440</v>
      </c>
      <c r="O348" s="80"/>
    </row>
    <row r="349" customHeight="1" spans="1:15">
      <c r="A349" s="73" t="str">
        <f t="shared" si="5"/>
        <v>苹果SE2配置默认</v>
      </c>
      <c r="B349" s="74" t="s">
        <v>23</v>
      </c>
      <c r="C349" s="74" t="s">
        <v>30</v>
      </c>
      <c r="D349" s="74" t="s">
        <v>334</v>
      </c>
      <c r="E349" s="74" t="s">
        <v>16</v>
      </c>
      <c r="F349" s="74"/>
      <c r="G349" s="75">
        <v>330</v>
      </c>
      <c r="O349" s="80"/>
    </row>
    <row r="350" customHeight="1" spans="1:15">
      <c r="A350" s="73" t="str">
        <f t="shared" si="5"/>
        <v>苹果SE2配置有锁默认</v>
      </c>
      <c r="B350" s="74" t="s">
        <v>23</v>
      </c>
      <c r="C350" s="74" t="s">
        <v>30</v>
      </c>
      <c r="D350" s="74" t="s">
        <v>335</v>
      </c>
      <c r="E350" s="74" t="s">
        <v>16</v>
      </c>
      <c r="F350" s="74"/>
      <c r="G350" s="75">
        <v>300</v>
      </c>
      <c r="O350" s="80"/>
    </row>
    <row r="351" customHeight="1" spans="1:15">
      <c r="A351" s="73" t="str">
        <f t="shared" si="5"/>
        <v>苹果SE2有锁默认</v>
      </c>
      <c r="B351" s="74" t="s">
        <v>23</v>
      </c>
      <c r="C351" s="74" t="s">
        <v>30</v>
      </c>
      <c r="D351" s="74" t="s">
        <v>336</v>
      </c>
      <c r="E351" s="74" t="s">
        <v>16</v>
      </c>
      <c r="F351" s="74"/>
      <c r="G351" s="75">
        <v>330</v>
      </c>
      <c r="O351" s="80"/>
    </row>
    <row r="352" customHeight="1" spans="1:15">
      <c r="A352" s="73" t="str">
        <f t="shared" si="5"/>
        <v>苹果SE3默认</v>
      </c>
      <c r="B352" s="74" t="s">
        <v>23</v>
      </c>
      <c r="C352" s="74" t="s">
        <v>30</v>
      </c>
      <c r="D352" s="74" t="s">
        <v>337</v>
      </c>
      <c r="E352" s="74" t="s">
        <v>16</v>
      </c>
      <c r="F352" s="74"/>
      <c r="G352" s="75">
        <v>580</v>
      </c>
      <c r="O352" s="80"/>
    </row>
    <row r="353" customHeight="1" spans="1:15">
      <c r="A353" s="73" t="str">
        <f t="shared" si="5"/>
        <v>苹果SE3零项目默认</v>
      </c>
      <c r="B353" s="74" t="s">
        <v>23</v>
      </c>
      <c r="C353" s="74" t="s">
        <v>30</v>
      </c>
      <c r="D353" s="74" t="s">
        <v>338</v>
      </c>
      <c r="E353" s="74" t="s">
        <v>16</v>
      </c>
      <c r="F353" s="74"/>
      <c r="G353" s="75">
        <v>600</v>
      </c>
      <c r="O353" s="80"/>
    </row>
    <row r="354" customHeight="1" spans="1:15">
      <c r="A354" s="73" t="str">
        <f t="shared" si="5"/>
        <v>苹果SE3配置默认</v>
      </c>
      <c r="B354" s="74" t="s">
        <v>23</v>
      </c>
      <c r="C354" s="74" t="s">
        <v>30</v>
      </c>
      <c r="D354" s="74" t="s">
        <v>339</v>
      </c>
      <c r="E354" s="74" t="s">
        <v>16</v>
      </c>
      <c r="F354" s="74"/>
      <c r="G354" s="75">
        <v>520</v>
      </c>
      <c r="O354" s="80"/>
    </row>
    <row r="355" customHeight="1" spans="1:15">
      <c r="A355" s="73" t="str">
        <f t="shared" si="5"/>
        <v>苹果SE3有锁默认</v>
      </c>
      <c r="B355" s="74" t="s">
        <v>23</v>
      </c>
      <c r="C355" s="74" t="s">
        <v>30</v>
      </c>
      <c r="D355" s="74" t="s">
        <v>340</v>
      </c>
      <c r="E355" s="74" t="s">
        <v>16</v>
      </c>
      <c r="F355" s="74"/>
      <c r="G355" s="75">
        <v>500</v>
      </c>
      <c r="O355" s="80"/>
    </row>
    <row r="356" customHeight="1" spans="1:15">
      <c r="A356" s="73" t="str">
        <f t="shared" si="5"/>
        <v>苹果X128G</v>
      </c>
      <c r="B356" s="74" t="s">
        <v>23</v>
      </c>
      <c r="C356" s="74" t="s">
        <v>30</v>
      </c>
      <c r="D356" s="74" t="s">
        <v>341</v>
      </c>
      <c r="E356" s="74" t="s">
        <v>103</v>
      </c>
      <c r="F356" s="74"/>
      <c r="G356" s="75" t="s">
        <v>17</v>
      </c>
      <c r="O356" s="80"/>
    </row>
    <row r="357" customHeight="1" spans="1:15">
      <c r="A357" s="73" t="str">
        <f t="shared" si="5"/>
        <v>苹果X256G</v>
      </c>
      <c r="B357" s="74" t="s">
        <v>23</v>
      </c>
      <c r="C357" s="74" t="s">
        <v>30</v>
      </c>
      <c r="D357" s="74" t="s">
        <v>341</v>
      </c>
      <c r="E357" s="74" t="s">
        <v>105</v>
      </c>
      <c r="F357" s="74"/>
      <c r="G357" s="75">
        <v>450</v>
      </c>
      <c r="O357" s="80"/>
    </row>
    <row r="358" customHeight="1" spans="1:15">
      <c r="A358" s="73" t="str">
        <f t="shared" si="5"/>
        <v>苹果X64G</v>
      </c>
      <c r="B358" s="74" t="s">
        <v>23</v>
      </c>
      <c r="C358" s="74" t="s">
        <v>30</v>
      </c>
      <c r="D358" s="74" t="s">
        <v>341</v>
      </c>
      <c r="E358" s="74" t="s">
        <v>266</v>
      </c>
      <c r="F358" s="74"/>
      <c r="G358" s="75">
        <v>430</v>
      </c>
      <c r="O358" s="80"/>
    </row>
    <row r="359" customHeight="1" spans="1:15">
      <c r="A359" s="73" t="str">
        <f t="shared" si="5"/>
        <v>苹果X默认</v>
      </c>
      <c r="B359" s="74" t="s">
        <v>23</v>
      </c>
      <c r="C359" s="74" t="s">
        <v>30</v>
      </c>
      <c r="D359" s="74" t="s">
        <v>341</v>
      </c>
      <c r="E359" s="74" t="s">
        <v>16</v>
      </c>
      <c r="F359" s="74"/>
      <c r="G359" s="75">
        <v>430</v>
      </c>
      <c r="O359" s="80"/>
    </row>
    <row r="360" customHeight="1" spans="1:15">
      <c r="A360" s="73" t="str">
        <f t="shared" si="5"/>
        <v>G苹果X128G</v>
      </c>
      <c r="B360" s="74" t="s">
        <v>23</v>
      </c>
      <c r="C360" s="74" t="s">
        <v>30</v>
      </c>
      <c r="D360" s="74" t="s">
        <v>342</v>
      </c>
      <c r="E360" s="74" t="s">
        <v>103</v>
      </c>
      <c r="F360" s="74"/>
      <c r="G360" s="75" t="s">
        <v>17</v>
      </c>
      <c r="O360" s="80"/>
    </row>
    <row r="361" customHeight="1" spans="1:15">
      <c r="A361" s="73" t="str">
        <f t="shared" si="5"/>
        <v>G苹果X256G</v>
      </c>
      <c r="B361" s="74" t="s">
        <v>23</v>
      </c>
      <c r="C361" s="74" t="s">
        <v>30</v>
      </c>
      <c r="D361" s="74" t="s">
        <v>342</v>
      </c>
      <c r="E361" s="74" t="s">
        <v>105</v>
      </c>
      <c r="F361" s="74"/>
      <c r="G361" s="75">
        <v>400</v>
      </c>
      <c r="O361" s="80"/>
    </row>
    <row r="362" customHeight="1" spans="1:15">
      <c r="A362" s="73" t="str">
        <f t="shared" si="5"/>
        <v>G苹果X默认</v>
      </c>
      <c r="B362" s="74" t="s">
        <v>23</v>
      </c>
      <c r="C362" s="74" t="s">
        <v>30</v>
      </c>
      <c r="D362" s="74" t="s">
        <v>342</v>
      </c>
      <c r="E362" s="74" t="s">
        <v>16</v>
      </c>
      <c r="F362" s="74"/>
      <c r="G362" s="75">
        <v>380</v>
      </c>
      <c r="O362" s="80"/>
    </row>
    <row r="363" customHeight="1" spans="1:15">
      <c r="A363" s="73" t="str">
        <f t="shared" si="5"/>
        <v>苹果XR128G</v>
      </c>
      <c r="B363" s="74" t="s">
        <v>23</v>
      </c>
      <c r="C363" s="74" t="s">
        <v>30</v>
      </c>
      <c r="D363" s="74" t="s">
        <v>343</v>
      </c>
      <c r="E363" s="74" t="s">
        <v>103</v>
      </c>
      <c r="F363" s="74"/>
      <c r="G363" s="75">
        <v>500</v>
      </c>
      <c r="O363" s="80"/>
    </row>
    <row r="364" customHeight="1" spans="1:15">
      <c r="A364" s="73" t="str">
        <f t="shared" si="5"/>
        <v>苹果XR256G</v>
      </c>
      <c r="B364" s="74" t="s">
        <v>23</v>
      </c>
      <c r="C364" s="74" t="s">
        <v>30</v>
      </c>
      <c r="D364" s="74" t="s">
        <v>343</v>
      </c>
      <c r="E364" s="74" t="s">
        <v>105</v>
      </c>
      <c r="F364" s="74"/>
      <c r="G364" s="75">
        <v>550</v>
      </c>
      <c r="O364" s="80"/>
    </row>
    <row r="365" customHeight="1" spans="1:15">
      <c r="A365" s="73" t="str">
        <f t="shared" si="5"/>
        <v>苹果XR64G</v>
      </c>
      <c r="B365" s="74" t="s">
        <v>23</v>
      </c>
      <c r="C365" s="74" t="s">
        <v>30</v>
      </c>
      <c r="D365" s="74" t="s">
        <v>343</v>
      </c>
      <c r="E365" s="74" t="s">
        <v>266</v>
      </c>
      <c r="F365" s="74"/>
      <c r="G365" s="75">
        <v>480</v>
      </c>
      <c r="O365" s="80"/>
    </row>
    <row r="366" customHeight="1" spans="1:15">
      <c r="A366" s="73" t="str">
        <f t="shared" si="5"/>
        <v>苹果XR默认</v>
      </c>
      <c r="B366" s="74" t="s">
        <v>23</v>
      </c>
      <c r="C366" s="74" t="s">
        <v>30</v>
      </c>
      <c r="D366" s="74" t="s">
        <v>343</v>
      </c>
      <c r="E366" s="74" t="s">
        <v>16</v>
      </c>
      <c r="F366" s="74"/>
      <c r="G366" s="75">
        <v>480</v>
      </c>
      <c r="O366" s="80"/>
    </row>
    <row r="367" customHeight="1" spans="1:15">
      <c r="A367" s="73" t="str">
        <f t="shared" si="5"/>
        <v>G苹果XR128G</v>
      </c>
      <c r="B367" s="74" t="s">
        <v>23</v>
      </c>
      <c r="C367" s="74" t="s">
        <v>30</v>
      </c>
      <c r="D367" s="74" t="s">
        <v>344</v>
      </c>
      <c r="E367" s="74" t="s">
        <v>103</v>
      </c>
      <c r="F367" s="74"/>
      <c r="G367" s="75">
        <v>450</v>
      </c>
      <c r="O367" s="80"/>
    </row>
    <row r="368" customHeight="1" spans="1:15">
      <c r="A368" s="73" t="str">
        <f t="shared" si="5"/>
        <v>G苹果XR256G</v>
      </c>
      <c r="B368" s="74" t="s">
        <v>23</v>
      </c>
      <c r="C368" s="74" t="s">
        <v>30</v>
      </c>
      <c r="D368" s="74" t="s">
        <v>344</v>
      </c>
      <c r="E368" s="74" t="s">
        <v>105</v>
      </c>
      <c r="F368" s="74"/>
      <c r="G368" s="75">
        <v>450</v>
      </c>
      <c r="O368" s="80"/>
    </row>
    <row r="369" customHeight="1" spans="1:15">
      <c r="A369" s="73" t="str">
        <f t="shared" si="5"/>
        <v>G苹果XR默认</v>
      </c>
      <c r="B369" s="74" t="s">
        <v>23</v>
      </c>
      <c r="C369" s="74" t="s">
        <v>30</v>
      </c>
      <c r="D369" s="74" t="s">
        <v>344</v>
      </c>
      <c r="E369" s="74" t="s">
        <v>16</v>
      </c>
      <c r="F369" s="74"/>
      <c r="G369" s="75">
        <v>450</v>
      </c>
      <c r="O369" s="80"/>
    </row>
    <row r="370" customHeight="1" spans="1:15">
      <c r="A370" s="73" t="str">
        <f t="shared" si="5"/>
        <v>苹果XR配置默认</v>
      </c>
      <c r="B370" s="74" t="s">
        <v>23</v>
      </c>
      <c r="C370" s="74" t="s">
        <v>30</v>
      </c>
      <c r="D370" s="74" t="s">
        <v>345</v>
      </c>
      <c r="E370" s="74" t="s">
        <v>16</v>
      </c>
      <c r="F370" s="74"/>
      <c r="G370" s="75">
        <v>380</v>
      </c>
      <c r="O370" s="80"/>
    </row>
    <row r="371" customHeight="1" spans="1:15">
      <c r="A371" s="73" t="str">
        <f t="shared" si="5"/>
        <v>苹果XR有锁128G</v>
      </c>
      <c r="B371" s="74" t="s">
        <v>23</v>
      </c>
      <c r="C371" s="74" t="s">
        <v>30</v>
      </c>
      <c r="D371" s="74" t="s">
        <v>346</v>
      </c>
      <c r="E371" s="74" t="s">
        <v>103</v>
      </c>
      <c r="F371" s="74"/>
      <c r="G371" s="75">
        <v>400</v>
      </c>
      <c r="O371" s="80"/>
    </row>
    <row r="372" customHeight="1" spans="1:15">
      <c r="A372" s="73" t="str">
        <f t="shared" si="5"/>
        <v>苹果XR有锁64G</v>
      </c>
      <c r="B372" s="74" t="s">
        <v>23</v>
      </c>
      <c r="C372" s="74" t="s">
        <v>30</v>
      </c>
      <c r="D372" s="74" t="s">
        <v>346</v>
      </c>
      <c r="E372" s="74" t="s">
        <v>266</v>
      </c>
      <c r="F372" s="74"/>
      <c r="G372" s="75">
        <v>400</v>
      </c>
      <c r="O372" s="80"/>
    </row>
    <row r="373" customHeight="1" spans="1:15">
      <c r="A373" s="73" t="str">
        <f t="shared" si="5"/>
        <v>苹果XR有锁默认</v>
      </c>
      <c r="B373" s="74" t="s">
        <v>23</v>
      </c>
      <c r="C373" s="74" t="s">
        <v>30</v>
      </c>
      <c r="D373" s="74" t="s">
        <v>346</v>
      </c>
      <c r="E373" s="74" t="s">
        <v>16</v>
      </c>
      <c r="F373" s="74"/>
      <c r="G373" s="75">
        <v>400</v>
      </c>
      <c r="O373" s="80"/>
    </row>
    <row r="374" customHeight="1" spans="1:15">
      <c r="A374" s="73" t="str">
        <f t="shared" si="5"/>
        <v>G苹果XR有锁128G</v>
      </c>
      <c r="B374" s="74" t="s">
        <v>23</v>
      </c>
      <c r="C374" s="74" t="s">
        <v>30</v>
      </c>
      <c r="D374" s="74" t="s">
        <v>347</v>
      </c>
      <c r="E374" s="74" t="s">
        <v>103</v>
      </c>
      <c r="F374" s="74"/>
      <c r="G374" s="75">
        <v>350</v>
      </c>
      <c r="O374" s="80"/>
    </row>
    <row r="375" customHeight="1" spans="1:15">
      <c r="A375" s="73" t="str">
        <f t="shared" si="5"/>
        <v>G苹果XR有锁64G</v>
      </c>
      <c r="B375" s="74" t="s">
        <v>23</v>
      </c>
      <c r="C375" s="74" t="s">
        <v>30</v>
      </c>
      <c r="D375" s="74" t="s">
        <v>347</v>
      </c>
      <c r="E375" s="74" t="s">
        <v>266</v>
      </c>
      <c r="F375" s="74"/>
      <c r="G375" s="75">
        <v>350</v>
      </c>
      <c r="O375" s="80"/>
    </row>
    <row r="376" customHeight="1" spans="1:15">
      <c r="A376" s="73" t="str">
        <f t="shared" si="5"/>
        <v>G苹果XR有锁默认</v>
      </c>
      <c r="B376" s="74" t="s">
        <v>23</v>
      </c>
      <c r="C376" s="74" t="s">
        <v>30</v>
      </c>
      <c r="D376" s="74" t="s">
        <v>347</v>
      </c>
      <c r="E376" s="74" t="s">
        <v>16</v>
      </c>
      <c r="F376" s="74"/>
      <c r="G376" s="75">
        <v>350</v>
      </c>
      <c r="O376" s="80"/>
    </row>
    <row r="377" customHeight="1" spans="1:15">
      <c r="A377" s="73" t="str">
        <f t="shared" si="5"/>
        <v>苹果XS256G</v>
      </c>
      <c r="B377" s="74" t="s">
        <v>23</v>
      </c>
      <c r="C377" s="74" t="s">
        <v>30</v>
      </c>
      <c r="D377" s="74" t="s">
        <v>348</v>
      </c>
      <c r="E377" s="74" t="s">
        <v>105</v>
      </c>
      <c r="F377" s="74"/>
      <c r="G377" s="75">
        <v>550</v>
      </c>
      <c r="O377" s="80"/>
    </row>
    <row r="378" customHeight="1" spans="1:15">
      <c r="A378" s="73" t="str">
        <f t="shared" si="5"/>
        <v>苹果XS默认</v>
      </c>
      <c r="B378" s="74" t="s">
        <v>23</v>
      </c>
      <c r="C378" s="74" t="s">
        <v>30</v>
      </c>
      <c r="D378" s="74" t="s">
        <v>348</v>
      </c>
      <c r="E378" s="74" t="s">
        <v>16</v>
      </c>
      <c r="F378" s="74"/>
      <c r="G378" s="75">
        <v>550</v>
      </c>
      <c r="O378" s="80"/>
    </row>
    <row r="379" customHeight="1" spans="1:15">
      <c r="A379" s="73" t="str">
        <f t="shared" si="5"/>
        <v>G苹果XS256G</v>
      </c>
      <c r="B379" s="74" t="s">
        <v>23</v>
      </c>
      <c r="C379" s="74" t="s">
        <v>30</v>
      </c>
      <c r="D379" s="74" t="s">
        <v>349</v>
      </c>
      <c r="E379" s="74" t="s">
        <v>105</v>
      </c>
      <c r="F379" s="74"/>
      <c r="G379" s="75">
        <v>450</v>
      </c>
      <c r="O379" s="80"/>
    </row>
    <row r="380" customHeight="1" spans="1:15">
      <c r="A380" s="73" t="str">
        <f t="shared" si="5"/>
        <v>G苹果XS默认</v>
      </c>
      <c r="B380" s="74" t="s">
        <v>23</v>
      </c>
      <c r="C380" s="74" t="s">
        <v>30</v>
      </c>
      <c r="D380" s="74" t="s">
        <v>349</v>
      </c>
      <c r="E380" s="74" t="s">
        <v>16</v>
      </c>
      <c r="F380" s="74"/>
      <c r="G380" s="75">
        <v>450</v>
      </c>
      <c r="O380" s="80"/>
    </row>
    <row r="381" customHeight="1" spans="1:15">
      <c r="A381" s="73" t="str">
        <f t="shared" si="5"/>
        <v>苹果XSMAX默认</v>
      </c>
      <c r="B381" s="74" t="s">
        <v>23</v>
      </c>
      <c r="C381" s="74" t="s">
        <v>30</v>
      </c>
      <c r="D381" s="74" t="s">
        <v>350</v>
      </c>
      <c r="E381" s="74" t="s">
        <v>16</v>
      </c>
      <c r="F381" s="74"/>
      <c r="G381" s="75">
        <v>850</v>
      </c>
      <c r="O381" s="80"/>
    </row>
    <row r="382" customHeight="1" spans="1:15">
      <c r="A382" s="73" t="str">
        <f t="shared" si="5"/>
        <v>苹果xsmax有锁默认</v>
      </c>
      <c r="B382" s="74" t="s">
        <v>23</v>
      </c>
      <c r="C382" s="74" t="s">
        <v>30</v>
      </c>
      <c r="D382" s="74" t="s">
        <v>351</v>
      </c>
      <c r="E382" s="74" t="s">
        <v>16</v>
      </c>
      <c r="F382" s="74"/>
      <c r="G382" s="75">
        <v>600</v>
      </c>
      <c r="O382" s="80"/>
    </row>
    <row r="383" customHeight="1" spans="1:15">
      <c r="A383" s="73" t="str">
        <f t="shared" si="5"/>
        <v>苹果xs有锁256G</v>
      </c>
      <c r="B383" s="74" t="s">
        <v>23</v>
      </c>
      <c r="C383" s="74" t="s">
        <v>30</v>
      </c>
      <c r="D383" s="74" t="s">
        <v>352</v>
      </c>
      <c r="E383" s="74" t="s">
        <v>105</v>
      </c>
      <c r="F383" s="74"/>
      <c r="G383" s="75">
        <v>400</v>
      </c>
      <c r="O383" s="80"/>
    </row>
    <row r="384" customHeight="1" spans="1:15">
      <c r="A384" s="73" t="str">
        <f t="shared" si="5"/>
        <v>苹果xs有锁默认</v>
      </c>
      <c r="B384" s="74" t="s">
        <v>23</v>
      </c>
      <c r="C384" s="74" t="s">
        <v>30</v>
      </c>
      <c r="D384" s="74" t="s">
        <v>352</v>
      </c>
      <c r="E384" s="74" t="s">
        <v>16</v>
      </c>
      <c r="F384" s="74"/>
      <c r="G384" s="75">
        <v>400</v>
      </c>
      <c r="O384" s="80"/>
    </row>
    <row r="385" customHeight="1" spans="1:15">
      <c r="A385" s="73" t="str">
        <f t="shared" si="5"/>
        <v>苹果x有锁256G</v>
      </c>
      <c r="B385" s="74" t="s">
        <v>23</v>
      </c>
      <c r="C385" s="74" t="s">
        <v>30</v>
      </c>
      <c r="D385" s="74" t="s">
        <v>353</v>
      </c>
      <c r="E385" s="74" t="s">
        <v>105</v>
      </c>
      <c r="F385" s="74"/>
      <c r="G385" s="75">
        <v>350</v>
      </c>
      <c r="O385" s="80"/>
    </row>
    <row r="386" customHeight="1" spans="1:15">
      <c r="A386" s="73" t="str">
        <f t="shared" si="5"/>
        <v>苹果x有锁默认</v>
      </c>
      <c r="B386" s="74" t="s">
        <v>23</v>
      </c>
      <c r="C386" s="74" t="s">
        <v>30</v>
      </c>
      <c r="D386" s="74" t="s">
        <v>353</v>
      </c>
      <c r="E386" s="74" t="s">
        <v>16</v>
      </c>
      <c r="F386" s="74"/>
      <c r="G386" s="75">
        <v>350</v>
      </c>
      <c r="O386" s="80"/>
    </row>
    <row r="387" customHeight="1" spans="1:15">
      <c r="A387" s="73" t="str">
        <f t="shared" ref="A387:A448" si="6">D387&amp;E387</f>
        <v>三星J3PRO默认</v>
      </c>
      <c r="B387" s="74" t="s">
        <v>23</v>
      </c>
      <c r="C387" s="74" t="s">
        <v>354</v>
      </c>
      <c r="D387" s="74" t="s">
        <v>355</v>
      </c>
      <c r="E387" s="74" t="s">
        <v>16</v>
      </c>
      <c r="F387" s="74"/>
      <c r="G387" s="75" t="s">
        <v>17</v>
      </c>
      <c r="O387" s="80"/>
    </row>
    <row r="388" customHeight="1" spans="1:15">
      <c r="A388" s="73" t="str">
        <f t="shared" si="6"/>
        <v>三星note10默认</v>
      </c>
      <c r="B388" s="74" t="s">
        <v>23</v>
      </c>
      <c r="C388" s="74" t="s">
        <v>354</v>
      </c>
      <c r="D388" s="74" t="s">
        <v>356</v>
      </c>
      <c r="E388" s="74" t="s">
        <v>16</v>
      </c>
      <c r="F388" s="74"/>
      <c r="G388" s="75">
        <v>260</v>
      </c>
      <c r="O388" s="80"/>
    </row>
    <row r="389" customHeight="1" spans="1:15">
      <c r="A389" s="73" t="str">
        <f t="shared" si="6"/>
        <v>三星note9默认</v>
      </c>
      <c r="B389" s="74" t="s">
        <v>23</v>
      </c>
      <c r="C389" s="74" t="s">
        <v>354</v>
      </c>
      <c r="D389" s="74" t="s">
        <v>357</v>
      </c>
      <c r="E389" s="74" t="s">
        <v>16</v>
      </c>
      <c r="F389" s="74"/>
      <c r="G389" s="75">
        <v>180</v>
      </c>
      <c r="O389" s="80"/>
    </row>
    <row r="390" customHeight="1" spans="1:15">
      <c r="A390" s="73" t="str">
        <f t="shared" si="6"/>
        <v>三星S10默认</v>
      </c>
      <c r="B390" s="74" t="s">
        <v>23</v>
      </c>
      <c r="C390" s="74" t="s">
        <v>354</v>
      </c>
      <c r="D390" s="74" t="s">
        <v>358</v>
      </c>
      <c r="E390" s="74" t="s">
        <v>16</v>
      </c>
      <c r="F390" s="74"/>
      <c r="G390" s="75">
        <v>260</v>
      </c>
      <c r="O390" s="80"/>
    </row>
    <row r="391" customHeight="1" spans="1:15">
      <c r="A391" s="73" t="str">
        <f t="shared" si="6"/>
        <v>三星S20默认</v>
      </c>
      <c r="B391" s="74" t="s">
        <v>23</v>
      </c>
      <c r="C391" s="74" t="s">
        <v>354</v>
      </c>
      <c r="D391" s="74" t="s">
        <v>359</v>
      </c>
      <c r="E391" s="74" t="s">
        <v>16</v>
      </c>
      <c r="F391" s="74"/>
      <c r="G391" s="75">
        <v>380</v>
      </c>
      <c r="O391" s="80"/>
    </row>
    <row r="392" customHeight="1" spans="1:15">
      <c r="A392" s="73" t="str">
        <f t="shared" si="6"/>
        <v>三星s21默认</v>
      </c>
      <c r="B392" s="74" t="s">
        <v>23</v>
      </c>
      <c r="C392" s="74" t="s">
        <v>354</v>
      </c>
      <c r="D392" s="74" t="s">
        <v>360</v>
      </c>
      <c r="E392" s="74" t="s">
        <v>16</v>
      </c>
      <c r="F392" s="74"/>
      <c r="G392" s="75">
        <v>800</v>
      </c>
      <c r="O392" s="80"/>
    </row>
    <row r="393" customHeight="1" spans="1:15">
      <c r="A393" s="73" t="str">
        <f t="shared" si="6"/>
        <v>三星S22U默认</v>
      </c>
      <c r="B393" s="74" t="s">
        <v>23</v>
      </c>
      <c r="C393" s="74" t="s">
        <v>354</v>
      </c>
      <c r="D393" s="74" t="s">
        <v>361</v>
      </c>
      <c r="E393" s="74" t="s">
        <v>16</v>
      </c>
      <c r="F393" s="74"/>
      <c r="G393" s="75">
        <v>1900</v>
      </c>
      <c r="O393" s="80"/>
    </row>
    <row r="394" customHeight="1" spans="1:15">
      <c r="A394" s="73" t="str">
        <f t="shared" si="6"/>
        <v>三星S23U默认</v>
      </c>
      <c r="B394" s="74" t="s">
        <v>23</v>
      </c>
      <c r="C394" s="74" t="s">
        <v>354</v>
      </c>
      <c r="D394" s="74" t="s">
        <v>362</v>
      </c>
      <c r="E394" s="74" t="s">
        <v>16</v>
      </c>
      <c r="F394" s="74"/>
      <c r="G394" s="75">
        <v>2200</v>
      </c>
      <c r="O394" s="80"/>
    </row>
    <row r="395" customHeight="1" spans="1:15">
      <c r="A395" s="73" t="str">
        <f t="shared" si="6"/>
        <v>三星S23U有锁默认</v>
      </c>
      <c r="B395" s="74" t="s">
        <v>23</v>
      </c>
      <c r="C395" s="74" t="s">
        <v>354</v>
      </c>
      <c r="D395" s="74" t="s">
        <v>363</v>
      </c>
      <c r="E395" s="74" t="s">
        <v>16</v>
      </c>
      <c r="F395" s="74"/>
      <c r="G395" s="75">
        <v>1800</v>
      </c>
      <c r="O395" s="80"/>
    </row>
    <row r="396" customHeight="1" spans="1:15">
      <c r="A396" s="73" t="str">
        <f t="shared" si="6"/>
        <v>三星S24U128G</v>
      </c>
      <c r="B396" s="74" t="s">
        <v>23</v>
      </c>
      <c r="C396" s="74" t="s">
        <v>354</v>
      </c>
      <c r="D396" s="74" t="s">
        <v>364</v>
      </c>
      <c r="E396" s="74" t="s">
        <v>103</v>
      </c>
      <c r="F396" s="74"/>
      <c r="G396" s="75">
        <v>3500</v>
      </c>
      <c r="O396" s="80"/>
    </row>
    <row r="397" customHeight="1" spans="1:15">
      <c r="A397" s="73" t="str">
        <f t="shared" si="6"/>
        <v>三星S24U默认</v>
      </c>
      <c r="B397" s="74" t="s">
        <v>23</v>
      </c>
      <c r="C397" s="74" t="s">
        <v>354</v>
      </c>
      <c r="D397" s="74" t="s">
        <v>364</v>
      </c>
      <c r="E397" s="74" t="s">
        <v>16</v>
      </c>
      <c r="F397" s="74"/>
      <c r="G397" s="75">
        <v>3500</v>
      </c>
      <c r="O397" s="80"/>
    </row>
    <row r="398" customHeight="1" spans="1:15">
      <c r="A398" s="73" t="str">
        <f t="shared" si="6"/>
        <v>三星S24U有锁默认</v>
      </c>
      <c r="B398" s="74" t="s">
        <v>23</v>
      </c>
      <c r="C398" s="74" t="s">
        <v>354</v>
      </c>
      <c r="D398" s="74" t="s">
        <v>365</v>
      </c>
      <c r="E398" s="74" t="s">
        <v>16</v>
      </c>
      <c r="F398" s="74"/>
      <c r="G398" s="75">
        <v>3000</v>
      </c>
      <c r="O398" s="80"/>
    </row>
    <row r="399" customHeight="1" spans="1:15">
      <c r="A399" s="73" t="str">
        <f t="shared" si="6"/>
        <v>三星S8默认</v>
      </c>
      <c r="B399" s="74" t="s">
        <v>23</v>
      </c>
      <c r="C399" s="74" t="s">
        <v>354</v>
      </c>
      <c r="D399" s="74" t="s">
        <v>366</v>
      </c>
      <c r="E399" s="74" t="s">
        <v>16</v>
      </c>
      <c r="F399" s="74"/>
      <c r="G399" s="75">
        <v>150</v>
      </c>
      <c r="O399" s="80"/>
    </row>
    <row r="400" customHeight="1" spans="1:15">
      <c r="A400" s="73" t="str">
        <f t="shared" si="6"/>
        <v>三星S9默认</v>
      </c>
      <c r="B400" s="74" t="s">
        <v>23</v>
      </c>
      <c r="C400" s="74" t="s">
        <v>354</v>
      </c>
      <c r="D400" s="74" t="s">
        <v>367</v>
      </c>
      <c r="E400" s="74" t="s">
        <v>16</v>
      </c>
      <c r="F400" s="74"/>
      <c r="G400" s="75">
        <v>180</v>
      </c>
      <c r="O400" s="80"/>
    </row>
    <row r="401" customHeight="1" spans="1:15">
      <c r="A401" s="73" t="str">
        <f t="shared" si="6"/>
        <v>小米10默认</v>
      </c>
      <c r="B401" s="74" t="s">
        <v>23</v>
      </c>
      <c r="C401" s="74" t="s">
        <v>368</v>
      </c>
      <c r="D401" s="74" t="s">
        <v>369</v>
      </c>
      <c r="E401" s="74" t="s">
        <v>16</v>
      </c>
      <c r="F401" s="74"/>
      <c r="G401" s="75">
        <v>500</v>
      </c>
      <c r="O401" s="80"/>
    </row>
    <row r="402" customHeight="1" spans="1:15">
      <c r="A402" s="73" t="str">
        <f t="shared" si="6"/>
        <v>小米10PRO默认</v>
      </c>
      <c r="B402" s="74" t="s">
        <v>23</v>
      </c>
      <c r="C402" s="74" t="s">
        <v>368</v>
      </c>
      <c r="D402" s="74" t="s">
        <v>370</v>
      </c>
      <c r="E402" s="74" t="s">
        <v>16</v>
      </c>
      <c r="F402" s="74"/>
      <c r="G402" s="75">
        <v>550</v>
      </c>
      <c r="O402" s="80"/>
    </row>
    <row r="403" customHeight="1" spans="1:15">
      <c r="A403" s="73" t="str">
        <f t="shared" si="6"/>
        <v>小米10S默认</v>
      </c>
      <c r="B403" s="74" t="s">
        <v>23</v>
      </c>
      <c r="C403" s="74" t="s">
        <v>368</v>
      </c>
      <c r="D403" s="74" t="s">
        <v>371</v>
      </c>
      <c r="E403" s="74" t="s">
        <v>16</v>
      </c>
      <c r="F403" s="74"/>
      <c r="G403" s="75" t="s">
        <v>17</v>
      </c>
      <c r="O403" s="80"/>
    </row>
    <row r="404" customHeight="1" spans="1:15">
      <c r="A404" s="73" t="str">
        <f t="shared" si="6"/>
        <v>小米10解BL默认</v>
      </c>
      <c r="B404" s="74" t="s">
        <v>23</v>
      </c>
      <c r="C404" s="74" t="s">
        <v>368</v>
      </c>
      <c r="D404" s="74" t="s">
        <v>372</v>
      </c>
      <c r="E404" s="74" t="s">
        <v>16</v>
      </c>
      <c r="F404" s="74"/>
      <c r="G404" s="75">
        <v>500</v>
      </c>
      <c r="O404" s="80"/>
    </row>
    <row r="405" customHeight="1" spans="1:15">
      <c r="A405" s="73" t="str">
        <f t="shared" si="6"/>
        <v>小米10青春默认</v>
      </c>
      <c r="B405" s="74" t="s">
        <v>23</v>
      </c>
      <c r="C405" s="74" t="s">
        <v>368</v>
      </c>
      <c r="D405" s="74" t="s">
        <v>373</v>
      </c>
      <c r="E405" s="74" t="s">
        <v>16</v>
      </c>
      <c r="F405" s="74"/>
      <c r="G405" s="75">
        <v>420</v>
      </c>
      <c r="O405" s="80"/>
    </row>
    <row r="406" customHeight="1" spans="1:15">
      <c r="A406" s="73" t="str">
        <f t="shared" si="6"/>
        <v>小米11默认</v>
      </c>
      <c r="B406" s="74" t="s">
        <v>23</v>
      </c>
      <c r="C406" s="74" t="s">
        <v>368</v>
      </c>
      <c r="D406" s="74" t="s">
        <v>374</v>
      </c>
      <c r="E406" s="74" t="s">
        <v>16</v>
      </c>
      <c r="F406" s="74"/>
      <c r="G406" s="75">
        <v>490</v>
      </c>
      <c r="O406" s="80"/>
    </row>
    <row r="407" customHeight="1" spans="1:15">
      <c r="A407" s="73" t="str">
        <f t="shared" si="6"/>
        <v>小米11PRO默认</v>
      </c>
      <c r="B407" s="74" t="s">
        <v>23</v>
      </c>
      <c r="C407" s="74" t="s">
        <v>368</v>
      </c>
      <c r="D407" s="74" t="s">
        <v>375</v>
      </c>
      <c r="E407" s="74" t="s">
        <v>16</v>
      </c>
      <c r="F407" s="74"/>
      <c r="G407" s="75" t="s">
        <v>17</v>
      </c>
      <c r="O407" s="80"/>
    </row>
    <row r="408" customHeight="1" spans="1:15">
      <c r="A408" s="73" t="str">
        <f t="shared" si="6"/>
        <v>小米11U默认</v>
      </c>
      <c r="B408" s="74" t="s">
        <v>23</v>
      </c>
      <c r="C408" s="74" t="s">
        <v>368</v>
      </c>
      <c r="D408" s="74" t="s">
        <v>376</v>
      </c>
      <c r="E408" s="74" t="s">
        <v>16</v>
      </c>
      <c r="F408" s="74"/>
      <c r="G408" s="75" t="s">
        <v>17</v>
      </c>
      <c r="O408" s="80"/>
    </row>
    <row r="409" customHeight="1" spans="1:15">
      <c r="A409" s="73" t="str">
        <f t="shared" si="6"/>
        <v>小米11解BL默认</v>
      </c>
      <c r="B409" s="74" t="s">
        <v>23</v>
      </c>
      <c r="C409" s="74" t="s">
        <v>368</v>
      </c>
      <c r="D409" s="74" t="s">
        <v>377</v>
      </c>
      <c r="E409" s="74" t="s">
        <v>16</v>
      </c>
      <c r="F409" s="74"/>
      <c r="G409" s="75">
        <v>490</v>
      </c>
      <c r="O409" s="80"/>
    </row>
    <row r="410" customHeight="1" spans="1:15">
      <c r="A410" s="73" t="str">
        <f t="shared" si="6"/>
        <v>小米12默认</v>
      </c>
      <c r="B410" s="74" t="s">
        <v>23</v>
      </c>
      <c r="C410" s="74" t="s">
        <v>368</v>
      </c>
      <c r="D410" s="74" t="s">
        <v>378</v>
      </c>
      <c r="E410" s="74" t="s">
        <v>16</v>
      </c>
      <c r="F410" s="74"/>
      <c r="G410" s="75">
        <v>620</v>
      </c>
      <c r="O410" s="80"/>
    </row>
    <row r="411" customHeight="1" spans="1:15">
      <c r="A411" s="73" t="str">
        <f t="shared" si="6"/>
        <v>小米12PRO默认</v>
      </c>
      <c r="B411" s="74" t="s">
        <v>23</v>
      </c>
      <c r="C411" s="74" t="s">
        <v>368</v>
      </c>
      <c r="D411" s="74" t="s">
        <v>379</v>
      </c>
      <c r="E411" s="74" t="s">
        <v>16</v>
      </c>
      <c r="F411" s="74"/>
      <c r="G411" s="75" t="s">
        <v>17</v>
      </c>
      <c r="O411" s="80"/>
    </row>
    <row r="412" customHeight="1" spans="1:15">
      <c r="A412" s="73" t="str">
        <f t="shared" si="6"/>
        <v>小米12解BL默认</v>
      </c>
      <c r="B412" s="74" t="s">
        <v>23</v>
      </c>
      <c r="C412" s="74" t="s">
        <v>368</v>
      </c>
      <c r="D412" s="74" t="s">
        <v>380</v>
      </c>
      <c r="E412" s="74" t="s">
        <v>16</v>
      </c>
      <c r="F412" s="74"/>
      <c r="G412" s="75">
        <v>620</v>
      </c>
      <c r="O412" s="80"/>
    </row>
    <row r="413" customHeight="1" spans="1:15">
      <c r="A413" s="73" t="str">
        <f t="shared" si="6"/>
        <v>小米13默认</v>
      </c>
      <c r="B413" s="74" t="s">
        <v>23</v>
      </c>
      <c r="C413" s="74" t="s">
        <v>368</v>
      </c>
      <c r="D413" s="74" t="s">
        <v>381</v>
      </c>
      <c r="E413" s="74" t="s">
        <v>16</v>
      </c>
      <c r="F413" s="74"/>
      <c r="G413" s="75">
        <v>850</v>
      </c>
      <c r="O413" s="80"/>
    </row>
    <row r="414" customHeight="1" spans="1:15">
      <c r="A414" s="73" t="str">
        <f t="shared" si="6"/>
        <v>小米13U默认</v>
      </c>
      <c r="B414" s="74" t="s">
        <v>23</v>
      </c>
      <c r="C414" s="74" t="s">
        <v>368</v>
      </c>
      <c r="D414" s="74" t="s">
        <v>382</v>
      </c>
      <c r="E414" s="74" t="s">
        <v>16</v>
      </c>
      <c r="F414" s="74"/>
      <c r="G414" s="75">
        <v>1200</v>
      </c>
      <c r="O414" s="80"/>
    </row>
    <row r="415" customHeight="1" spans="1:15">
      <c r="A415" s="73" t="str">
        <f t="shared" si="6"/>
        <v>小米14默认</v>
      </c>
      <c r="B415" s="74" t="s">
        <v>23</v>
      </c>
      <c r="C415" s="74" t="s">
        <v>368</v>
      </c>
      <c r="D415" s="74" t="s">
        <v>383</v>
      </c>
      <c r="E415" s="74" t="s">
        <v>16</v>
      </c>
      <c r="F415" s="74"/>
      <c r="G415" s="75">
        <v>1200</v>
      </c>
      <c r="O415" s="80"/>
    </row>
    <row r="416" customHeight="1" spans="1:15">
      <c r="A416" s="73" t="str">
        <f t="shared" si="6"/>
        <v>小米14PRO默认</v>
      </c>
      <c r="B416" s="74" t="s">
        <v>23</v>
      </c>
      <c r="C416" s="74" t="s">
        <v>368</v>
      </c>
      <c r="D416" s="74" t="s">
        <v>384</v>
      </c>
      <c r="E416" s="74" t="s">
        <v>16</v>
      </c>
      <c r="F416" s="74"/>
      <c r="G416" s="75">
        <v>1300</v>
      </c>
      <c r="O416" s="80"/>
    </row>
    <row r="417" customHeight="1" spans="1:15">
      <c r="A417" s="73" t="str">
        <f t="shared" si="6"/>
        <v>小米14U默认</v>
      </c>
      <c r="B417" s="74" t="s">
        <v>23</v>
      </c>
      <c r="C417" s="74" t="s">
        <v>368</v>
      </c>
      <c r="D417" s="74" t="s">
        <v>385</v>
      </c>
      <c r="E417" s="74" t="s">
        <v>16</v>
      </c>
      <c r="F417" s="74"/>
      <c r="G417" s="75">
        <v>1900</v>
      </c>
      <c r="O417" s="80"/>
    </row>
    <row r="418" customHeight="1" spans="1:15">
      <c r="A418" s="73" t="str">
        <f t="shared" si="6"/>
        <v>小米15默认</v>
      </c>
      <c r="B418" s="74" t="s">
        <v>23</v>
      </c>
      <c r="C418" s="74" t="s">
        <v>368</v>
      </c>
      <c r="D418" s="74" t="s">
        <v>386</v>
      </c>
      <c r="E418" s="74" t="s">
        <v>16</v>
      </c>
      <c r="F418" s="74"/>
      <c r="G418" s="75" t="s">
        <v>17</v>
      </c>
      <c r="O418" s="80"/>
    </row>
    <row r="419" customHeight="1" spans="1:15">
      <c r="A419" s="73" t="str">
        <f t="shared" si="6"/>
        <v>小米15PRO默认</v>
      </c>
      <c r="B419" s="74" t="s">
        <v>23</v>
      </c>
      <c r="C419" s="74" t="s">
        <v>368</v>
      </c>
      <c r="D419" s="74" t="s">
        <v>387</v>
      </c>
      <c r="E419" s="74" t="s">
        <v>16</v>
      </c>
      <c r="F419" s="74"/>
      <c r="G419" s="75" t="s">
        <v>17</v>
      </c>
      <c r="O419" s="80"/>
    </row>
    <row r="420" customHeight="1" spans="1:15">
      <c r="A420" s="73" t="str">
        <f t="shared" si="6"/>
        <v>小米5P默认</v>
      </c>
      <c r="B420" s="74" t="s">
        <v>23</v>
      </c>
      <c r="C420" s="74" t="s">
        <v>368</v>
      </c>
      <c r="D420" s="74" t="s">
        <v>388</v>
      </c>
      <c r="E420" s="74" t="s">
        <v>16</v>
      </c>
      <c r="F420" s="74"/>
      <c r="G420" s="75" t="s">
        <v>17</v>
      </c>
      <c r="O420" s="80"/>
    </row>
    <row r="421" customHeight="1" spans="1:15">
      <c r="A421" s="73" t="str">
        <f t="shared" si="6"/>
        <v>小米6默认</v>
      </c>
      <c r="B421" s="74" t="s">
        <v>23</v>
      </c>
      <c r="C421" s="74" t="s">
        <v>368</v>
      </c>
      <c r="D421" s="74" t="s">
        <v>389</v>
      </c>
      <c r="E421" s="74" t="s">
        <v>16</v>
      </c>
      <c r="F421" s="74"/>
      <c r="G421" s="75">
        <v>170</v>
      </c>
      <c r="O421" s="80"/>
    </row>
    <row r="422" customHeight="1" spans="1:15">
      <c r="A422" s="73" t="str">
        <f t="shared" si="6"/>
        <v>小米6X默认</v>
      </c>
      <c r="B422" s="74" t="s">
        <v>23</v>
      </c>
      <c r="C422" s="74" t="s">
        <v>368</v>
      </c>
      <c r="D422" s="74" t="s">
        <v>390</v>
      </c>
      <c r="E422" s="74" t="s">
        <v>16</v>
      </c>
      <c r="F422" s="74"/>
      <c r="G422" s="75">
        <v>160</v>
      </c>
      <c r="O422" s="80"/>
    </row>
    <row r="423" customHeight="1" spans="1:15">
      <c r="A423" s="73" t="str">
        <f t="shared" si="6"/>
        <v>小米6解BL默认</v>
      </c>
      <c r="B423" s="74" t="s">
        <v>23</v>
      </c>
      <c r="C423" s="74" t="s">
        <v>368</v>
      </c>
      <c r="D423" s="74" t="s">
        <v>391</v>
      </c>
      <c r="E423" s="74" t="s">
        <v>16</v>
      </c>
      <c r="F423" s="74"/>
      <c r="G423" s="75">
        <v>170</v>
      </c>
      <c r="O423" s="80"/>
    </row>
    <row r="424" customHeight="1" spans="1:15">
      <c r="A424" s="73" t="str">
        <f t="shared" si="6"/>
        <v>小米8默认</v>
      </c>
      <c r="B424" s="74" t="s">
        <v>23</v>
      </c>
      <c r="C424" s="74" t="s">
        <v>368</v>
      </c>
      <c r="D424" s="74" t="s">
        <v>392</v>
      </c>
      <c r="E424" s="74" t="s">
        <v>16</v>
      </c>
      <c r="F424" s="74"/>
      <c r="G424" s="75">
        <v>230</v>
      </c>
      <c r="O424" s="80"/>
    </row>
    <row r="425" customHeight="1" spans="1:15">
      <c r="A425" s="73" t="str">
        <f t="shared" si="6"/>
        <v>小米8SE默认</v>
      </c>
      <c r="B425" s="74" t="s">
        <v>23</v>
      </c>
      <c r="C425" s="74" t="s">
        <v>368</v>
      </c>
      <c r="D425" s="74" t="s">
        <v>393</v>
      </c>
      <c r="E425" s="74" t="s">
        <v>16</v>
      </c>
      <c r="F425" s="74"/>
      <c r="G425" s="75">
        <v>220</v>
      </c>
      <c r="O425" s="80"/>
    </row>
    <row r="426" customHeight="1" spans="1:15">
      <c r="A426" s="73" t="str">
        <f t="shared" si="6"/>
        <v>小米8解BL默认</v>
      </c>
      <c r="B426" s="74" t="s">
        <v>23</v>
      </c>
      <c r="C426" s="74" t="s">
        <v>368</v>
      </c>
      <c r="D426" s="74" t="s">
        <v>394</v>
      </c>
      <c r="E426" s="74" t="s">
        <v>16</v>
      </c>
      <c r="F426" s="74"/>
      <c r="G426" s="75">
        <v>230</v>
      </c>
      <c r="O426" s="80"/>
    </row>
    <row r="427" customHeight="1" spans="1:15">
      <c r="A427" s="73" t="str">
        <f t="shared" si="6"/>
        <v>小米9默认</v>
      </c>
      <c r="B427" s="74" t="s">
        <v>23</v>
      </c>
      <c r="C427" s="74" t="s">
        <v>368</v>
      </c>
      <c r="D427" s="74" t="s">
        <v>395</v>
      </c>
      <c r="E427" s="74" t="s">
        <v>16</v>
      </c>
      <c r="F427" s="74"/>
      <c r="G427" s="75">
        <v>330</v>
      </c>
      <c r="O427" s="80"/>
    </row>
    <row r="428" customHeight="1" spans="1:15">
      <c r="A428" s="73" t="str">
        <f t="shared" si="6"/>
        <v>小米9SE默认</v>
      </c>
      <c r="B428" s="74" t="s">
        <v>23</v>
      </c>
      <c r="C428" s="74" t="s">
        <v>368</v>
      </c>
      <c r="D428" s="74" t="s">
        <v>396</v>
      </c>
      <c r="E428" s="74" t="s">
        <v>16</v>
      </c>
      <c r="F428" s="74"/>
      <c r="G428" s="75">
        <v>240</v>
      </c>
      <c r="O428" s="80"/>
    </row>
    <row r="429" customHeight="1" spans="1:15">
      <c r="A429" s="73" t="str">
        <f t="shared" si="6"/>
        <v>小米9解BL默认</v>
      </c>
      <c r="B429" s="74" t="s">
        <v>23</v>
      </c>
      <c r="C429" s="74" t="s">
        <v>368</v>
      </c>
      <c r="D429" s="74" t="s">
        <v>397</v>
      </c>
      <c r="E429" s="74" t="s">
        <v>16</v>
      </c>
      <c r="F429" s="74"/>
      <c r="G429" s="75">
        <v>330</v>
      </c>
      <c r="O429" s="80"/>
    </row>
    <row r="430" customHeight="1" spans="1:15">
      <c r="A430" s="73" t="str">
        <f t="shared" si="6"/>
        <v>小米CC9E默认</v>
      </c>
      <c r="B430" s="74" t="s">
        <v>23</v>
      </c>
      <c r="C430" s="74" t="s">
        <v>368</v>
      </c>
      <c r="D430" s="74" t="s">
        <v>398</v>
      </c>
      <c r="E430" s="74" t="s">
        <v>16</v>
      </c>
      <c r="F430" s="74"/>
      <c r="G430" s="75">
        <v>250</v>
      </c>
      <c r="O430" s="80"/>
    </row>
    <row r="431" customHeight="1" spans="1:15">
      <c r="A431" s="73" t="str">
        <f t="shared" si="6"/>
        <v>小米civi3默认</v>
      </c>
      <c r="B431" s="74" t="s">
        <v>23</v>
      </c>
      <c r="C431" s="74" t="s">
        <v>368</v>
      </c>
      <c r="D431" s="74" t="s">
        <v>399</v>
      </c>
      <c r="E431" s="74" t="s">
        <v>16</v>
      </c>
      <c r="F431" s="74"/>
      <c r="G431" s="75">
        <v>700</v>
      </c>
      <c r="O431" s="80"/>
    </row>
    <row r="432" customHeight="1" spans="1:15">
      <c r="A432" s="73" t="str">
        <f t="shared" si="6"/>
        <v>一加8默认</v>
      </c>
      <c r="B432" s="74" t="s">
        <v>23</v>
      </c>
      <c r="C432" s="74" t="s">
        <v>400</v>
      </c>
      <c r="D432" s="74" t="s">
        <v>401</v>
      </c>
      <c r="E432" s="74" t="s">
        <v>16</v>
      </c>
      <c r="F432" s="74"/>
      <c r="G432" s="75" t="s">
        <v>17</v>
      </c>
      <c r="O432" s="80"/>
    </row>
    <row r="433" customHeight="1" spans="1:15">
      <c r="A433" s="73" t="str">
        <f t="shared" si="6"/>
        <v>一加8PRO默认</v>
      </c>
      <c r="B433" s="74" t="s">
        <v>23</v>
      </c>
      <c r="C433" s="74" t="s">
        <v>400</v>
      </c>
      <c r="D433" s="74" t="s">
        <v>402</v>
      </c>
      <c r="E433" s="74" t="s">
        <v>16</v>
      </c>
      <c r="F433" s="74"/>
      <c r="G433" s="75" t="s">
        <v>17</v>
      </c>
      <c r="O433" s="80"/>
    </row>
    <row r="434" customHeight="1" spans="1:15">
      <c r="A434" s="73" t="str">
        <f t="shared" si="6"/>
        <v>一加8T默认</v>
      </c>
      <c r="B434" s="74" t="s">
        <v>23</v>
      </c>
      <c r="C434" s="74" t="s">
        <v>400</v>
      </c>
      <c r="D434" s="74" t="s">
        <v>403</v>
      </c>
      <c r="E434" s="74" t="s">
        <v>16</v>
      </c>
      <c r="F434" s="74"/>
      <c r="G434" s="75" t="s">
        <v>17</v>
      </c>
      <c r="O434" s="80"/>
    </row>
    <row r="435" customHeight="1" spans="1:15">
      <c r="A435" s="73" t="str">
        <f t="shared" si="6"/>
        <v>真我Realme默认</v>
      </c>
      <c r="B435" s="74" t="s">
        <v>23</v>
      </c>
      <c r="C435" s="74" t="s">
        <v>404</v>
      </c>
      <c r="D435" s="74" t="s">
        <v>405</v>
      </c>
      <c r="E435" s="74" t="s">
        <v>16</v>
      </c>
      <c r="F435" s="74"/>
      <c r="G435" s="75" t="s">
        <v>17</v>
      </c>
      <c r="O435" s="80"/>
    </row>
    <row r="436" customHeight="1" spans="1:15">
      <c r="A436" s="73" t="str">
        <f t="shared" si="6"/>
        <v>真我V11S默认</v>
      </c>
      <c r="B436" s="74" t="s">
        <v>23</v>
      </c>
      <c r="C436" s="74" t="s">
        <v>404</v>
      </c>
      <c r="D436" s="74" t="s">
        <v>406</v>
      </c>
      <c r="E436" s="74" t="s">
        <v>16</v>
      </c>
      <c r="F436" s="74"/>
      <c r="G436" s="75" t="s">
        <v>17</v>
      </c>
      <c r="O436" s="80"/>
    </row>
    <row r="437" customHeight="1" spans="1:15">
      <c r="A437" s="73" t="str">
        <f t="shared" si="6"/>
        <v>真我V3默认</v>
      </c>
      <c r="B437" s="74" t="s">
        <v>23</v>
      </c>
      <c r="C437" s="74" t="s">
        <v>404</v>
      </c>
      <c r="D437" s="74" t="s">
        <v>407</v>
      </c>
      <c r="E437" s="74" t="s">
        <v>16</v>
      </c>
      <c r="F437" s="74"/>
      <c r="G437" s="75" t="s">
        <v>17</v>
      </c>
      <c r="O437" s="80"/>
    </row>
    <row r="438" customHeight="1" spans="1:15">
      <c r="A438" s="73" t="str">
        <f t="shared" si="6"/>
        <v>松下剃须刀LV54默认</v>
      </c>
      <c r="B438" s="74" t="s">
        <v>408</v>
      </c>
      <c r="C438" s="74" t="s">
        <v>409</v>
      </c>
      <c r="D438" s="74" t="s">
        <v>410</v>
      </c>
      <c r="E438" s="74" t="s">
        <v>16</v>
      </c>
      <c r="F438" s="74"/>
      <c r="G438" s="75">
        <v>650</v>
      </c>
      <c r="O438" s="80"/>
    </row>
    <row r="439" customHeight="1" spans="1:15">
      <c r="A439" s="73" t="str">
        <f t="shared" si="6"/>
        <v>补收差价默认</v>
      </c>
      <c r="B439" s="74" t="s">
        <v>411</v>
      </c>
      <c r="C439" s="74" t="s">
        <v>412</v>
      </c>
      <c r="D439" s="74" t="s">
        <v>413</v>
      </c>
      <c r="E439" s="74" t="s">
        <v>16</v>
      </c>
      <c r="F439" s="74" t="s">
        <v>414</v>
      </c>
      <c r="G439" s="75"/>
      <c r="O439" s="98"/>
    </row>
    <row r="440" customHeight="1" spans="1:15">
      <c r="A440" s="73" t="str">
        <f t="shared" si="6"/>
        <v>部分转租赁2默认</v>
      </c>
      <c r="B440" s="74" t="s">
        <v>411</v>
      </c>
      <c r="C440" s="74" t="s">
        <v>412</v>
      </c>
      <c r="D440" s="74" t="s">
        <v>415</v>
      </c>
      <c r="E440" s="74" t="s">
        <v>16</v>
      </c>
      <c r="F440" s="74"/>
      <c r="G440" s="75"/>
      <c r="O440" s="98"/>
    </row>
    <row r="441" customHeight="1" spans="1:15">
      <c r="A441" s="73" t="str">
        <f>D441&amp;E441</f>
        <v>全部转租赁2默认</v>
      </c>
      <c r="B441" s="74" t="s">
        <v>411</v>
      </c>
      <c r="C441" s="74" t="s">
        <v>412</v>
      </c>
      <c r="D441" s="74" t="s">
        <v>416</v>
      </c>
      <c r="E441" s="74" t="s">
        <v>16</v>
      </c>
      <c r="F441" s="74"/>
      <c r="G441" s="75"/>
      <c r="O441" s="98"/>
    </row>
    <row r="442" customHeight="1" spans="1:15">
      <c r="A442" s="73" t="str">
        <f>D442&amp;E442</f>
        <v>仅退款默认</v>
      </c>
      <c r="B442" s="74" t="s">
        <v>411</v>
      </c>
      <c r="C442" s="74" t="s">
        <v>412</v>
      </c>
      <c r="D442" s="74" t="s">
        <v>37</v>
      </c>
      <c r="E442" s="74" t="s">
        <v>16</v>
      </c>
      <c r="F442" s="99" t="s">
        <v>417</v>
      </c>
      <c r="G442" s="75"/>
      <c r="O442" s="98"/>
    </row>
    <row r="443" customHeight="1" spans="1:15">
      <c r="A443" s="73" t="str">
        <f>D443&amp;E443</f>
        <v>快递费默认</v>
      </c>
      <c r="B443" s="74" t="s">
        <v>411</v>
      </c>
      <c r="C443" s="74" t="s">
        <v>412</v>
      </c>
      <c r="D443" s="74" t="s">
        <v>418</v>
      </c>
      <c r="E443" s="74" t="s">
        <v>16</v>
      </c>
      <c r="F443" s="74"/>
      <c r="G443" s="75"/>
      <c r="O443" s="98"/>
    </row>
    <row r="444" customHeight="1" spans="1:15">
      <c r="A444" s="73" t="str">
        <f>D444&amp;E444</f>
        <v>平台租金默认</v>
      </c>
      <c r="B444" s="74" t="s">
        <v>411</v>
      </c>
      <c r="C444" s="74" t="s">
        <v>412</v>
      </c>
      <c r="D444" s="99" t="s">
        <v>419</v>
      </c>
      <c r="E444" s="74" t="s">
        <v>16</v>
      </c>
      <c r="F444" s="99" t="s">
        <v>420</v>
      </c>
      <c r="G444" s="75"/>
      <c r="O444" s="98"/>
    </row>
    <row r="445" customHeight="1" spans="1:15">
      <c r="A445" s="73" t="str">
        <f t="shared" si="6"/>
        <v>退押金默认</v>
      </c>
      <c r="B445" s="74" t="s">
        <v>411</v>
      </c>
      <c r="C445" s="74" t="s">
        <v>412</v>
      </c>
      <c r="D445" s="74" t="s">
        <v>47</v>
      </c>
      <c r="E445" s="74" t="s">
        <v>16</v>
      </c>
      <c r="F445" s="74"/>
      <c r="G445" s="75"/>
      <c r="O445" s="98"/>
    </row>
    <row r="446" customHeight="1" spans="1:15">
      <c r="A446" s="73" t="str">
        <f t="shared" si="6"/>
        <v>维修费默认</v>
      </c>
      <c r="B446" s="74" t="s">
        <v>411</v>
      </c>
      <c r="C446" s="74" t="s">
        <v>412</v>
      </c>
      <c r="D446" s="74" t="s">
        <v>421</v>
      </c>
      <c r="E446" s="74" t="s">
        <v>16</v>
      </c>
      <c r="F446" s="74"/>
      <c r="G446" s="75"/>
      <c r="O446" s="98"/>
    </row>
    <row r="447" customHeight="1" spans="1:15">
      <c r="A447" s="73" t="str">
        <f t="shared" si="6"/>
        <v>续期租金默认</v>
      </c>
      <c r="B447" s="74" t="s">
        <v>411</v>
      </c>
      <c r="C447" s="74" t="s">
        <v>412</v>
      </c>
      <c r="D447" s="74" t="s">
        <v>422</v>
      </c>
      <c r="E447" s="74" t="s">
        <v>16</v>
      </c>
      <c r="F447" s="99" t="s">
        <v>423</v>
      </c>
      <c r="G447" s="75"/>
      <c r="O447" s="98"/>
    </row>
    <row r="448" customHeight="1" spans="1:15">
      <c r="A448" s="73" t="str">
        <f t="shared" si="6"/>
        <v>押金默认</v>
      </c>
      <c r="B448" s="74" t="s">
        <v>411</v>
      </c>
      <c r="C448" s="74" t="s">
        <v>412</v>
      </c>
      <c r="D448" s="74" t="s">
        <v>424</v>
      </c>
      <c r="E448" s="74" t="s">
        <v>16</v>
      </c>
      <c r="F448" s="99" t="s">
        <v>425</v>
      </c>
      <c r="G448" s="75"/>
      <c r="O448" s="98"/>
    </row>
    <row r="449" customHeight="1" spans="1:15">
      <c r="A449" s="100"/>
      <c r="B449" s="80"/>
      <c r="C449" s="80"/>
      <c r="D449" s="80"/>
      <c r="E449" s="80"/>
      <c r="F449" s="80"/>
      <c r="O449" s="98"/>
    </row>
    <row r="450" customHeight="1" spans="1:15">
      <c r="A450" s="100"/>
      <c r="B450" s="80"/>
      <c r="C450" s="80"/>
      <c r="D450" s="80"/>
      <c r="E450" s="80"/>
      <c r="F450" s="80"/>
      <c r="O450" s="98"/>
    </row>
    <row r="451" customHeight="1" spans="1:15">
      <c r="A451" s="100"/>
      <c r="B451" s="80"/>
      <c r="C451" s="80"/>
      <c r="D451" s="80"/>
      <c r="E451" s="80"/>
      <c r="F451" s="80"/>
      <c r="O451" s="98"/>
    </row>
    <row r="452" customHeight="1" spans="1:15">
      <c r="A452" s="100"/>
      <c r="B452" s="80"/>
      <c r="C452" s="80"/>
      <c r="D452" s="80"/>
      <c r="E452" s="80"/>
      <c r="F452" s="80"/>
      <c r="O452" s="98"/>
    </row>
    <row r="453" customHeight="1" spans="1:15">
      <c r="A453" s="100"/>
      <c r="B453" s="80"/>
      <c r="C453" s="80"/>
      <c r="D453" s="80"/>
      <c r="E453" s="80"/>
      <c r="F453" s="80"/>
      <c r="O453" s="98"/>
    </row>
    <row r="454" customHeight="1" spans="1:15">
      <c r="A454" s="100"/>
      <c r="B454" s="80"/>
      <c r="C454" s="80"/>
      <c r="D454" s="80"/>
      <c r="E454" s="80"/>
      <c r="F454" s="80"/>
      <c r="O454" s="98"/>
    </row>
    <row r="455" customHeight="1" spans="1:15">
      <c r="A455" s="100"/>
      <c r="B455" s="80"/>
      <c r="C455" s="80"/>
      <c r="D455" s="80"/>
      <c r="E455" s="80"/>
      <c r="F455" s="80"/>
      <c r="O455" s="98"/>
    </row>
    <row r="456" customHeight="1" spans="1:15">
      <c r="A456" s="100"/>
      <c r="B456" s="80"/>
      <c r="C456" s="80"/>
      <c r="D456" s="80"/>
      <c r="E456" s="80"/>
      <c r="F456" s="80"/>
      <c r="O456" s="98"/>
    </row>
    <row r="457" customHeight="1" spans="1:15">
      <c r="A457" s="100"/>
      <c r="B457" s="80"/>
      <c r="C457" s="80"/>
      <c r="D457" s="80"/>
      <c r="E457" s="80"/>
      <c r="F457" s="80"/>
      <c r="O457" s="98"/>
    </row>
    <row r="458" customHeight="1" spans="1:15">
      <c r="A458" s="100"/>
      <c r="B458" s="80"/>
      <c r="C458" s="80"/>
      <c r="D458" s="80"/>
      <c r="E458" s="80"/>
      <c r="F458" s="80"/>
      <c r="O458" s="98"/>
    </row>
    <row r="459" customHeight="1" spans="1:15">
      <c r="A459" s="100"/>
      <c r="B459" s="80"/>
      <c r="C459" s="80"/>
      <c r="D459" s="80"/>
      <c r="E459" s="80"/>
      <c r="F459" s="80"/>
      <c r="O459" s="98"/>
    </row>
    <row r="460" customHeight="1" spans="1:15">
      <c r="A460" s="100"/>
      <c r="B460" s="80"/>
      <c r="C460" s="80"/>
      <c r="D460" s="80"/>
      <c r="E460" s="80"/>
      <c r="F460" s="80"/>
      <c r="O460" s="98"/>
    </row>
    <row r="461" customHeight="1" spans="1:15">
      <c r="A461" s="100"/>
      <c r="B461" s="80"/>
      <c r="C461" s="80"/>
      <c r="D461" s="80"/>
      <c r="E461" s="80"/>
      <c r="F461" s="80"/>
      <c r="O461" s="98"/>
    </row>
    <row r="462" customHeight="1" spans="1:15">
      <c r="A462" s="100"/>
      <c r="B462" s="80"/>
      <c r="C462" s="80"/>
      <c r="D462" s="80"/>
      <c r="E462" s="80"/>
      <c r="F462" s="80"/>
      <c r="O462" s="98"/>
    </row>
    <row r="463" customHeight="1" spans="1:15">
      <c r="A463" s="100"/>
      <c r="B463" s="80"/>
      <c r="C463" s="80"/>
      <c r="D463" s="80"/>
      <c r="E463" s="80"/>
      <c r="F463" s="80"/>
      <c r="O463" s="98"/>
    </row>
    <row r="464" customHeight="1" spans="1:15">
      <c r="A464" s="100"/>
      <c r="B464" s="80"/>
      <c r="C464" s="80"/>
      <c r="D464" s="80"/>
      <c r="E464" s="80"/>
      <c r="F464" s="80"/>
      <c r="O464" s="98"/>
    </row>
    <row r="465" customHeight="1" spans="1:15">
      <c r="A465" s="100"/>
      <c r="B465" s="80"/>
      <c r="C465" s="80"/>
      <c r="D465" s="80"/>
      <c r="E465" s="80"/>
      <c r="F465" s="80"/>
      <c r="O465" s="98"/>
    </row>
    <row r="466" customHeight="1" spans="1:15">
      <c r="A466" s="100"/>
      <c r="B466" s="80"/>
      <c r="C466" s="80"/>
      <c r="D466" s="80"/>
      <c r="E466" s="80"/>
      <c r="F466" s="80"/>
      <c r="O466" s="98"/>
    </row>
    <row r="467" customHeight="1" spans="1:15">
      <c r="A467" s="100"/>
      <c r="B467" s="80"/>
      <c r="C467" s="80"/>
      <c r="D467" s="80"/>
      <c r="E467" s="80"/>
      <c r="F467" s="80"/>
      <c r="O467" s="98"/>
    </row>
    <row r="468" customHeight="1" spans="1:15">
      <c r="A468" s="100"/>
      <c r="B468" s="80"/>
      <c r="C468" s="80"/>
      <c r="D468" s="80"/>
      <c r="E468" s="80"/>
      <c r="F468" s="80"/>
      <c r="O468" s="98"/>
    </row>
    <row r="469" customHeight="1" spans="1:15">
      <c r="A469" s="100"/>
      <c r="B469" s="80"/>
      <c r="C469" s="80"/>
      <c r="D469" s="80"/>
      <c r="E469" s="80"/>
      <c r="F469" s="80"/>
      <c r="O469" s="98"/>
    </row>
    <row r="470" customHeight="1" spans="1:15">
      <c r="A470" s="100"/>
      <c r="B470" s="80"/>
      <c r="C470" s="80"/>
      <c r="D470" s="80"/>
      <c r="E470" s="80"/>
      <c r="F470" s="80"/>
      <c r="O470" s="98"/>
    </row>
    <row r="471" customHeight="1" spans="1:15">
      <c r="A471" s="100"/>
      <c r="B471" s="80"/>
      <c r="C471" s="80"/>
      <c r="D471" s="80"/>
      <c r="E471" s="80"/>
      <c r="F471" s="80"/>
      <c r="O471" s="98"/>
    </row>
    <row r="472" customHeight="1" spans="1:15">
      <c r="A472" s="100"/>
      <c r="B472" s="80"/>
      <c r="C472" s="80"/>
      <c r="D472" s="80"/>
      <c r="E472" s="80"/>
      <c r="F472" s="80"/>
      <c r="O472" s="98"/>
    </row>
    <row r="473" customHeight="1" spans="1:15">
      <c r="A473" s="100"/>
      <c r="B473" s="80"/>
      <c r="C473" s="80"/>
      <c r="D473" s="80"/>
      <c r="E473" s="80"/>
      <c r="F473" s="80"/>
      <c r="O473" s="98"/>
    </row>
    <row r="474" customHeight="1" spans="1:15">
      <c r="A474" s="100"/>
      <c r="B474" s="80"/>
      <c r="C474" s="80"/>
      <c r="D474" s="80"/>
      <c r="E474" s="80"/>
      <c r="F474" s="80"/>
      <c r="O474" s="98"/>
    </row>
    <row r="475" customHeight="1" spans="1:15">
      <c r="A475" s="100"/>
      <c r="B475" s="80"/>
      <c r="C475" s="80"/>
      <c r="D475" s="80"/>
      <c r="E475" s="80"/>
      <c r="F475" s="80"/>
      <c r="O475" s="98"/>
    </row>
    <row r="476" customHeight="1" spans="1:15">
      <c r="A476" s="100"/>
      <c r="B476" s="80"/>
      <c r="C476" s="80"/>
      <c r="D476" s="80"/>
      <c r="E476" s="80"/>
      <c r="F476" s="80"/>
      <c r="O476" s="98"/>
    </row>
    <row r="477" customHeight="1" spans="1:15">
      <c r="A477" s="100"/>
      <c r="B477" s="80"/>
      <c r="C477" s="80"/>
      <c r="D477" s="80"/>
      <c r="E477" s="80"/>
      <c r="F477" s="80"/>
      <c r="O477" s="98"/>
    </row>
    <row r="478" customHeight="1" spans="1:15">
      <c r="A478" s="100"/>
      <c r="B478" s="80"/>
      <c r="C478" s="80"/>
      <c r="D478" s="80"/>
      <c r="E478" s="80"/>
      <c r="F478" s="80"/>
      <c r="O478" s="98"/>
    </row>
    <row r="479" customHeight="1" spans="1:15">
      <c r="A479" s="100"/>
      <c r="B479" s="80"/>
      <c r="C479" s="80"/>
      <c r="D479" s="80"/>
      <c r="E479" s="80"/>
      <c r="F479" s="80"/>
      <c r="O479" s="98"/>
    </row>
    <row r="480" customHeight="1" spans="1:15">
      <c r="A480" s="100"/>
      <c r="B480" s="80"/>
      <c r="C480" s="80"/>
      <c r="D480" s="80"/>
      <c r="E480" s="80"/>
      <c r="F480" s="80"/>
      <c r="O480" s="98"/>
    </row>
    <row r="481" customHeight="1" spans="1:15">
      <c r="A481" s="100"/>
      <c r="B481" s="80"/>
      <c r="C481" s="80"/>
      <c r="D481" s="80"/>
      <c r="E481" s="80"/>
      <c r="F481" s="80"/>
      <c r="O481" s="98"/>
    </row>
    <row r="482" customHeight="1" spans="1:15">
      <c r="A482" s="100"/>
      <c r="B482" s="80"/>
      <c r="C482" s="80"/>
      <c r="D482" s="80"/>
      <c r="E482" s="80"/>
      <c r="F482" s="80"/>
      <c r="O482" s="98"/>
    </row>
    <row r="483" customHeight="1" spans="1:15">
      <c r="A483" s="100"/>
      <c r="B483" s="80"/>
      <c r="C483" s="80"/>
      <c r="D483" s="80"/>
      <c r="E483" s="80"/>
      <c r="F483" s="80"/>
      <c r="O483" s="98"/>
    </row>
    <row r="484" customHeight="1" spans="1:15">
      <c r="A484" s="100"/>
      <c r="B484" s="80"/>
      <c r="C484" s="80"/>
      <c r="D484" s="80"/>
      <c r="E484" s="80"/>
      <c r="F484" s="80"/>
      <c r="O484" s="98"/>
    </row>
    <row r="485" customHeight="1" spans="1:15">
      <c r="A485" s="100"/>
      <c r="B485" s="80"/>
      <c r="C485" s="80"/>
      <c r="D485" s="80"/>
      <c r="E485" s="80"/>
      <c r="F485" s="80"/>
      <c r="O485" s="98"/>
    </row>
    <row r="486" customHeight="1" spans="1:15">
      <c r="A486" s="100"/>
      <c r="B486" s="80"/>
      <c r="C486" s="80"/>
      <c r="D486" s="80"/>
      <c r="E486" s="80"/>
      <c r="F486" s="80"/>
      <c r="O486" s="98"/>
    </row>
    <row r="487" customHeight="1" spans="1:15">
      <c r="A487" s="100"/>
      <c r="B487" s="80"/>
      <c r="C487" s="80"/>
      <c r="D487" s="80"/>
      <c r="E487" s="80"/>
      <c r="F487" s="80"/>
      <c r="O487" s="98"/>
    </row>
    <row r="488" customHeight="1" spans="1:15">
      <c r="A488" s="100"/>
      <c r="B488" s="80"/>
      <c r="C488" s="80"/>
      <c r="D488" s="80"/>
      <c r="E488" s="80"/>
      <c r="F488" s="80"/>
      <c r="O488" s="98"/>
    </row>
    <row r="489" customHeight="1" spans="1:15">
      <c r="A489" s="100"/>
      <c r="B489" s="80"/>
      <c r="C489" s="80"/>
      <c r="D489" s="80"/>
      <c r="E489" s="80"/>
      <c r="F489" s="80"/>
      <c r="O489" s="98"/>
    </row>
    <row r="490" customHeight="1" spans="1:15">
      <c r="A490" s="100"/>
      <c r="B490" s="80"/>
      <c r="C490" s="80"/>
      <c r="D490" s="80"/>
      <c r="E490" s="80"/>
      <c r="F490" s="80"/>
      <c r="O490" s="98"/>
    </row>
    <row r="491" customHeight="1" spans="1:15">
      <c r="A491" s="100"/>
      <c r="B491" s="80"/>
      <c r="C491" s="80"/>
      <c r="D491" s="80"/>
      <c r="E491" s="80"/>
      <c r="F491" s="80"/>
      <c r="O491" s="98"/>
    </row>
    <row r="492" customHeight="1" spans="1:15">
      <c r="A492" s="100"/>
      <c r="B492" s="80"/>
      <c r="C492" s="80"/>
      <c r="D492" s="80"/>
      <c r="E492" s="80"/>
      <c r="F492" s="80"/>
      <c r="O492" s="98"/>
    </row>
    <row r="493" customHeight="1" spans="1:15">
      <c r="A493" s="100"/>
      <c r="B493" s="80"/>
      <c r="C493" s="80"/>
      <c r="D493" s="80"/>
      <c r="E493" s="80"/>
      <c r="F493" s="80"/>
      <c r="O493" s="98"/>
    </row>
    <row r="494" customHeight="1" spans="1:15">
      <c r="A494" s="100"/>
      <c r="B494" s="80"/>
      <c r="C494" s="80"/>
      <c r="D494" s="80"/>
      <c r="E494" s="80"/>
      <c r="F494" s="80"/>
      <c r="O494" s="98"/>
    </row>
    <row r="495" customHeight="1" spans="1:15">
      <c r="A495" s="100"/>
      <c r="B495" s="80"/>
      <c r="C495" s="80"/>
      <c r="D495" s="80"/>
      <c r="E495" s="80"/>
      <c r="F495" s="80"/>
      <c r="O495" s="98"/>
    </row>
    <row r="496" customHeight="1" spans="1:15">
      <c r="A496" s="100"/>
      <c r="B496" s="80"/>
      <c r="C496" s="80"/>
      <c r="D496" s="80"/>
      <c r="E496" s="80"/>
      <c r="F496" s="80"/>
      <c r="O496" s="98"/>
    </row>
    <row r="497" customHeight="1" spans="1:15">
      <c r="A497" s="100"/>
      <c r="B497" s="80"/>
      <c r="C497" s="80"/>
      <c r="D497" s="80"/>
      <c r="E497" s="80"/>
      <c r="F497" s="80"/>
      <c r="O497" s="98"/>
    </row>
    <row r="498" customHeight="1" spans="1:15">
      <c r="A498" s="100"/>
      <c r="B498" s="80"/>
      <c r="C498" s="80"/>
      <c r="D498" s="80"/>
      <c r="E498" s="80"/>
      <c r="F498" s="80"/>
      <c r="O498" s="98"/>
    </row>
  </sheetData>
  <autoFilter xmlns:etc="http://www.wps.cn/officeDocument/2017/etCustomData" ref="A1:F448" etc:filterBottomFollowUsedRange="0">
    <extLst/>
  </autoFilter>
  <sortState ref="A1:AH498">
    <sortCondition ref="B1:B498"/>
    <sortCondition ref="E1:E498"/>
  </sortState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订单明细">
    <tabColor rgb="FFFFC000"/>
  </sheetPr>
  <dimension ref="A1:Y123"/>
  <sheetViews>
    <sheetView showGridLines="0" workbookViewId="0">
      <pane ySplit="5" topLeftCell="A6" activePane="bottomLeft" state="frozen"/>
      <selection/>
      <selection pane="bottomLeft" activeCell="M21" sqref="M21"/>
    </sheetView>
  </sheetViews>
  <sheetFormatPr defaultColWidth="10.2897196261682" defaultRowHeight="16" customHeight="1"/>
  <cols>
    <col min="1" max="1" width="5.16822429906542" style="9" customWidth="1"/>
    <col min="2" max="2" width="12.1401869158879" style="10" customWidth="1"/>
    <col min="3" max="4" width="5.85981308411215" style="7" customWidth="1"/>
    <col min="5" max="5" width="10.1588785046729" style="11" customWidth="1"/>
    <col min="6" max="6" width="14.2990654205607" style="7" customWidth="1"/>
    <col min="7" max="7" width="5.91588785046729" style="7" customWidth="1"/>
    <col min="8" max="8" width="5.35514018691589" style="12" customWidth="1"/>
    <col min="9" max="9" width="25.0467289719626" style="7" customWidth="1"/>
    <col min="10" max="10" width="10.4018691588785" style="7" customWidth="1"/>
    <col min="11" max="11" width="8.23364485981308" style="13" customWidth="1"/>
    <col min="12" max="12" width="14.8317757009346" style="14" customWidth="1"/>
    <col min="13" max="13" width="9.29906542056075" style="14" customWidth="1"/>
    <col min="14" max="14" width="5.1214953271028" style="7" customWidth="1"/>
    <col min="15" max="15" width="5.93457943925234" style="8" customWidth="1"/>
    <col min="16" max="16" width="8.22429906542056" style="9" customWidth="1"/>
    <col min="17" max="17" width="12.2056074766355" style="7" customWidth="1"/>
    <col min="18" max="18" width="12.7663551401869" style="7" customWidth="1"/>
    <col min="19" max="19" width="10.2897196261682" style="7" customWidth="1"/>
    <col min="20" max="20" width="10.8598130841121" style="7" customWidth="1"/>
    <col min="21" max="21" width="14.7663551401869" style="15" customWidth="1"/>
    <col min="22" max="22" width="9.1588785046729" style="7" customWidth="1"/>
    <col min="23" max="23" width="8.1588785046729" style="7" customWidth="1"/>
    <col min="24" max="25" width="5.78504672897196" style="7" customWidth="1"/>
    <col min="26" max="16384" width="10.2897196261682" style="7"/>
  </cols>
  <sheetData>
    <row r="1" s="6" customFormat="1" ht="28.65" spans="1:25">
      <c r="A1" s="16" t="s">
        <v>7</v>
      </c>
      <c r="B1" s="17" t="s">
        <v>426</v>
      </c>
      <c r="C1" s="18" t="s">
        <v>427</v>
      </c>
      <c r="D1" s="18" t="s">
        <v>428</v>
      </c>
      <c r="E1" s="19" t="s">
        <v>8</v>
      </c>
      <c r="F1" s="20" t="s">
        <v>10</v>
      </c>
      <c r="G1" s="20" t="s">
        <v>429</v>
      </c>
      <c r="H1" s="21" t="s">
        <v>9</v>
      </c>
      <c r="I1" s="22" t="s">
        <v>430</v>
      </c>
      <c r="J1" s="22" t="s">
        <v>431</v>
      </c>
      <c r="K1" s="23" t="s">
        <v>2</v>
      </c>
      <c r="L1" s="24" t="s">
        <v>3</v>
      </c>
      <c r="M1" s="24" t="s">
        <v>4</v>
      </c>
      <c r="N1" s="25" t="s">
        <v>432</v>
      </c>
      <c r="O1" s="22" t="s">
        <v>433</v>
      </c>
      <c r="P1" s="26" t="s">
        <v>434</v>
      </c>
      <c r="Q1" s="27" t="s">
        <v>435</v>
      </c>
      <c r="R1" s="22" t="s">
        <v>436</v>
      </c>
      <c r="S1" s="22" t="s">
        <v>437</v>
      </c>
      <c r="T1" s="20" t="s">
        <v>12</v>
      </c>
      <c r="U1" s="28" t="s">
        <v>438</v>
      </c>
      <c r="V1" s="29" t="s">
        <v>439</v>
      </c>
      <c r="W1" s="29" t="s">
        <v>440</v>
      </c>
      <c r="X1" s="30" t="s">
        <v>441</v>
      </c>
      <c r="Y1" s="30" t="s">
        <v>442</v>
      </c>
    </row>
    <row r="2" s="7" customFormat="1" customHeight="1" spans="1:25">
      <c r="A2" s="31">
        <f>IF(B2="","-",ROW(A1))</f>
        <v>1</v>
      </c>
      <c r="B2" s="32">
        <v>46174</v>
      </c>
      <c r="C2" s="33" t="s">
        <v>443</v>
      </c>
      <c r="D2" s="33" t="s">
        <v>444</v>
      </c>
      <c r="E2" s="34" t="s">
        <v>18</v>
      </c>
      <c r="F2" s="35" t="s">
        <v>44</v>
      </c>
      <c r="G2" s="35" t="s">
        <v>39</v>
      </c>
      <c r="H2" s="36" t="str">
        <f>_xlfn.XLOOKUP(F2,产品资料!L:L,产品资料!K:K)</f>
        <v>平台</v>
      </c>
      <c r="I2" s="33" t="s">
        <v>445</v>
      </c>
      <c r="J2" s="33" t="s">
        <v>446</v>
      </c>
      <c r="K2" s="37" t="str">
        <f>_xlfn.XLOOKUP(L2,产品资料!D:D,产品资料!C:C)</f>
        <v>苹果</v>
      </c>
      <c r="L2" s="38" t="s">
        <v>273</v>
      </c>
      <c r="M2" s="33" t="s">
        <v>103</v>
      </c>
      <c r="N2" s="39">
        <v>3</v>
      </c>
      <c r="O2" s="40"/>
      <c r="P2" s="41">
        <f t="shared" ref="P2:P29" si="0">N2*O2</f>
        <v>0</v>
      </c>
      <c r="Q2" s="33"/>
      <c r="R2" s="42" t="s">
        <v>447</v>
      </c>
      <c r="S2" s="33" t="s">
        <v>446</v>
      </c>
      <c r="T2" s="33" t="s">
        <v>22</v>
      </c>
      <c r="U2" s="43"/>
      <c r="V2" s="33"/>
      <c r="W2" s="33"/>
      <c r="X2" s="33"/>
      <c r="Y2" s="33"/>
    </row>
    <row r="3" s="7" customFormat="1" customHeight="1" spans="1:25">
      <c r="A3" s="31">
        <f t="shared" ref="A3:A34" si="1">IF(B3="","-",ROW(A2))</f>
        <v>2</v>
      </c>
      <c r="B3" s="32">
        <v>46174</v>
      </c>
      <c r="C3" s="33" t="s">
        <v>443</v>
      </c>
      <c r="D3" s="33" t="s">
        <v>444</v>
      </c>
      <c r="E3" s="34" t="s">
        <v>18</v>
      </c>
      <c r="F3" s="35" t="s">
        <v>44</v>
      </c>
      <c r="G3" s="35" t="s">
        <v>39</v>
      </c>
      <c r="H3" s="36" t="str">
        <f>_xlfn.XLOOKUP(F3,产品资料!L:L,产品资料!K:K)</f>
        <v>平台</v>
      </c>
      <c r="I3" s="33" t="s">
        <v>448</v>
      </c>
      <c r="J3" s="33" t="s">
        <v>449</v>
      </c>
      <c r="K3" s="37" t="str">
        <f>_xlfn.XLOOKUP(L3,产品资料!D:D,产品资料!C:C)</f>
        <v>苹果</v>
      </c>
      <c r="L3" s="33" t="s">
        <v>312</v>
      </c>
      <c r="M3" s="33" t="s">
        <v>16</v>
      </c>
      <c r="N3" s="39">
        <v>10</v>
      </c>
      <c r="O3" s="40"/>
      <c r="P3" s="41">
        <f t="shared" si="0"/>
        <v>0</v>
      </c>
      <c r="Q3" s="33"/>
      <c r="R3" s="42" t="s">
        <v>450</v>
      </c>
      <c r="S3" s="33" t="s">
        <v>449</v>
      </c>
      <c r="T3" s="33" t="s">
        <v>22</v>
      </c>
      <c r="U3" s="43" t="s">
        <v>451</v>
      </c>
      <c r="V3" s="44"/>
      <c r="W3" s="44"/>
      <c r="X3" s="44"/>
      <c r="Y3" s="44"/>
    </row>
    <row r="4" s="7" customFormat="1" customHeight="1" spans="1:25">
      <c r="A4" s="31">
        <f t="shared" si="1"/>
        <v>3</v>
      </c>
      <c r="B4" s="32">
        <v>46174</v>
      </c>
      <c r="C4" s="33" t="s">
        <v>443</v>
      </c>
      <c r="D4" s="33" t="s">
        <v>444</v>
      </c>
      <c r="E4" s="34" t="s">
        <v>18</v>
      </c>
      <c r="F4" s="35" t="s">
        <v>38</v>
      </c>
      <c r="G4" s="35" t="s">
        <v>39</v>
      </c>
      <c r="H4" s="36" t="str">
        <f>_xlfn.XLOOKUP(F4,产品资料!L:L,产品资料!K:K)</f>
        <v>平台</v>
      </c>
      <c r="I4" s="33" t="s">
        <v>452</v>
      </c>
      <c r="J4" s="33" t="s">
        <v>453</v>
      </c>
      <c r="K4" s="37" t="str">
        <f>_xlfn.XLOOKUP(L4,产品资料!D:D,产品资料!C:C)</f>
        <v>无</v>
      </c>
      <c r="L4" s="33" t="s">
        <v>422</v>
      </c>
      <c r="M4" s="33" t="s">
        <v>16</v>
      </c>
      <c r="N4" s="39">
        <v>1</v>
      </c>
      <c r="O4" s="40">
        <v>110</v>
      </c>
      <c r="P4" s="41">
        <f t="shared" si="0"/>
        <v>110</v>
      </c>
      <c r="Q4" s="33" t="s">
        <v>454</v>
      </c>
      <c r="R4" s="103" t="s">
        <v>45</v>
      </c>
      <c r="S4" s="33" t="s">
        <v>453</v>
      </c>
      <c r="T4" s="104" t="s">
        <v>45</v>
      </c>
      <c r="U4" s="43"/>
      <c r="V4" s="33"/>
      <c r="W4" s="33"/>
      <c r="X4" s="33"/>
      <c r="Y4" s="33"/>
    </row>
    <row r="5" s="7" customFormat="1" customHeight="1" spans="1:25">
      <c r="A5" s="31">
        <f t="shared" si="1"/>
        <v>4</v>
      </c>
      <c r="B5" s="32">
        <v>46174</v>
      </c>
      <c r="C5" s="33" t="s">
        <v>443</v>
      </c>
      <c r="D5" s="33" t="s">
        <v>444</v>
      </c>
      <c r="E5" s="34" t="s">
        <v>18</v>
      </c>
      <c r="F5" s="35" t="s">
        <v>44</v>
      </c>
      <c r="G5" s="35" t="s">
        <v>39</v>
      </c>
      <c r="H5" s="36" t="str">
        <f>_xlfn.XLOOKUP(F5,产品资料!L:L,产品资料!K:K)</f>
        <v>平台</v>
      </c>
      <c r="I5" s="33" t="s">
        <v>455</v>
      </c>
      <c r="J5" s="33" t="s">
        <v>456</v>
      </c>
      <c r="K5" s="37" t="str">
        <f>_xlfn.XLOOKUP(L5,产品资料!D:D,产品资料!C:C)</f>
        <v>无</v>
      </c>
      <c r="L5" s="38" t="s">
        <v>422</v>
      </c>
      <c r="M5" s="33" t="s">
        <v>16</v>
      </c>
      <c r="N5" s="39">
        <v>1</v>
      </c>
      <c r="O5" s="40">
        <v>675</v>
      </c>
      <c r="P5" s="41">
        <f t="shared" si="0"/>
        <v>675</v>
      </c>
      <c r="Q5" s="33" t="s">
        <v>457</v>
      </c>
      <c r="R5" s="103" t="s">
        <v>45</v>
      </c>
      <c r="S5" s="33" t="s">
        <v>456</v>
      </c>
      <c r="T5" s="104" t="s">
        <v>45</v>
      </c>
      <c r="U5" s="43"/>
      <c r="V5" s="33"/>
      <c r="W5" s="33"/>
      <c r="X5" s="33"/>
      <c r="Y5" s="33"/>
    </row>
    <row r="6" s="7" customFormat="1" customHeight="1" spans="1:25">
      <c r="A6" s="31">
        <f t="shared" si="1"/>
        <v>5</v>
      </c>
      <c r="B6" s="32">
        <v>46174</v>
      </c>
      <c r="C6" s="33" t="s">
        <v>443</v>
      </c>
      <c r="D6" s="33" t="s">
        <v>444</v>
      </c>
      <c r="E6" s="34" t="s">
        <v>18</v>
      </c>
      <c r="F6" s="35" t="s">
        <v>52</v>
      </c>
      <c r="G6" s="35" t="s">
        <v>39</v>
      </c>
      <c r="H6" s="36" t="str">
        <f>_xlfn.XLOOKUP(F6,产品资料!L:L,产品资料!K:K)</f>
        <v>平台</v>
      </c>
      <c r="I6" s="33" t="s">
        <v>458</v>
      </c>
      <c r="J6" s="33" t="s">
        <v>459</v>
      </c>
      <c r="K6" s="37" t="str">
        <f>_xlfn.XLOOKUP(L6,产品资料!D:D,产品资料!C:C)</f>
        <v>无</v>
      </c>
      <c r="L6" s="38" t="s">
        <v>422</v>
      </c>
      <c r="M6" s="33" t="s">
        <v>16</v>
      </c>
      <c r="N6" s="39">
        <v>1</v>
      </c>
      <c r="O6" s="40">
        <v>80</v>
      </c>
      <c r="P6" s="41">
        <f t="shared" si="0"/>
        <v>80</v>
      </c>
      <c r="Q6" s="33" t="s">
        <v>454</v>
      </c>
      <c r="R6" s="103" t="s">
        <v>45</v>
      </c>
      <c r="S6" s="33" t="s">
        <v>459</v>
      </c>
      <c r="T6" s="104" t="s">
        <v>45</v>
      </c>
      <c r="U6" s="43"/>
      <c r="V6" s="33"/>
      <c r="W6" s="33"/>
      <c r="X6" s="33"/>
      <c r="Y6" s="33"/>
    </row>
    <row r="7" s="7" customFormat="1" customHeight="1" spans="1:25">
      <c r="A7" s="31">
        <f t="shared" si="1"/>
        <v>6</v>
      </c>
      <c r="B7" s="32">
        <v>46174</v>
      </c>
      <c r="C7" s="33" t="s">
        <v>443</v>
      </c>
      <c r="D7" s="33" t="s">
        <v>444</v>
      </c>
      <c r="E7" s="34" t="s">
        <v>18</v>
      </c>
      <c r="F7" s="35" t="s">
        <v>52</v>
      </c>
      <c r="G7" s="35" t="s">
        <v>39</v>
      </c>
      <c r="H7" s="36" t="str">
        <f>_xlfn.XLOOKUP(F7,产品资料!L:L,产品资料!K:K)</f>
        <v>平台</v>
      </c>
      <c r="I7" s="33" t="s">
        <v>460</v>
      </c>
      <c r="J7" s="33" t="s">
        <v>461</v>
      </c>
      <c r="K7" s="37" t="str">
        <f>_xlfn.XLOOKUP(L7,产品资料!D:D,产品资料!C:C)</f>
        <v>无</v>
      </c>
      <c r="L7" s="38" t="s">
        <v>422</v>
      </c>
      <c r="M7" s="33" t="s">
        <v>16</v>
      </c>
      <c r="N7" s="39">
        <v>1</v>
      </c>
      <c r="O7" s="40">
        <v>1900</v>
      </c>
      <c r="P7" s="41">
        <f t="shared" si="0"/>
        <v>1900</v>
      </c>
      <c r="Q7" s="33" t="s">
        <v>454</v>
      </c>
      <c r="R7" s="103" t="s">
        <v>45</v>
      </c>
      <c r="S7" s="33" t="s">
        <v>461</v>
      </c>
      <c r="T7" s="104" t="s">
        <v>45</v>
      </c>
      <c r="U7" s="43"/>
      <c r="V7" s="33"/>
      <c r="W7" s="33"/>
      <c r="X7" s="33"/>
      <c r="Y7" s="33"/>
    </row>
    <row r="8" s="7" customFormat="1" customHeight="1" spans="1:25">
      <c r="A8" s="31">
        <f t="shared" si="1"/>
        <v>7</v>
      </c>
      <c r="B8" s="32">
        <v>46174</v>
      </c>
      <c r="C8" s="33" t="s">
        <v>443</v>
      </c>
      <c r="D8" s="33" t="s">
        <v>444</v>
      </c>
      <c r="E8" s="34" t="s">
        <v>18</v>
      </c>
      <c r="F8" s="35" t="s">
        <v>50</v>
      </c>
      <c r="G8" s="35" t="s">
        <v>39</v>
      </c>
      <c r="H8" s="36" t="str">
        <f>_xlfn.XLOOKUP(F8,产品资料!L:L,产品资料!K:K)</f>
        <v>平台</v>
      </c>
      <c r="I8" s="33" t="s">
        <v>462</v>
      </c>
      <c r="J8" s="33" t="s">
        <v>463</v>
      </c>
      <c r="K8" s="37" t="str">
        <f>_xlfn.XLOOKUP(L8,产品资料!D:D,产品资料!C:C)</f>
        <v>无</v>
      </c>
      <c r="L8" s="38" t="s">
        <v>422</v>
      </c>
      <c r="M8" s="33" t="s">
        <v>16</v>
      </c>
      <c r="N8" s="39">
        <v>1</v>
      </c>
      <c r="O8" s="40">
        <v>560</v>
      </c>
      <c r="P8" s="41">
        <f t="shared" si="0"/>
        <v>560</v>
      </c>
      <c r="Q8" s="33" t="s">
        <v>454</v>
      </c>
      <c r="R8" s="103" t="s">
        <v>45</v>
      </c>
      <c r="S8" s="33" t="s">
        <v>463</v>
      </c>
      <c r="T8" s="104" t="s">
        <v>45</v>
      </c>
      <c r="U8" s="43"/>
      <c r="V8" s="33"/>
      <c r="W8" s="33"/>
      <c r="X8" s="33"/>
      <c r="Y8" s="33"/>
    </row>
    <row r="9" s="8" customFormat="1" customHeight="1" spans="1:25">
      <c r="A9" s="31">
        <f t="shared" si="1"/>
        <v>8</v>
      </c>
      <c r="B9" s="32">
        <v>46174</v>
      </c>
      <c r="C9" s="40" t="s">
        <v>443</v>
      </c>
      <c r="D9" s="40" t="s">
        <v>444</v>
      </c>
      <c r="E9" s="45" t="s">
        <v>18</v>
      </c>
      <c r="F9" s="35" t="s">
        <v>48</v>
      </c>
      <c r="G9" s="35" t="s">
        <v>39</v>
      </c>
      <c r="H9" s="36" t="str">
        <f>_xlfn.XLOOKUP(F9,产品资料!L:L,产品资料!K:K)</f>
        <v>平台</v>
      </c>
      <c r="I9" s="40" t="s">
        <v>464</v>
      </c>
      <c r="J9" s="40" t="s">
        <v>465</v>
      </c>
      <c r="K9" s="37" t="str">
        <f>_xlfn.XLOOKUP(L9,产品资料!D:D,产品资料!C:C)</f>
        <v>无</v>
      </c>
      <c r="L9" s="46" t="s">
        <v>422</v>
      </c>
      <c r="M9" s="33" t="s">
        <v>16</v>
      </c>
      <c r="N9" s="47">
        <v>1</v>
      </c>
      <c r="O9" s="47">
        <v>800</v>
      </c>
      <c r="P9" s="41">
        <f t="shared" si="0"/>
        <v>800</v>
      </c>
      <c r="Q9" s="33" t="s">
        <v>454</v>
      </c>
      <c r="R9" s="103" t="s">
        <v>45</v>
      </c>
      <c r="S9" s="40" t="s">
        <v>465</v>
      </c>
      <c r="T9" s="104" t="s">
        <v>45</v>
      </c>
      <c r="U9" s="45"/>
      <c r="V9" s="40"/>
      <c r="W9" s="40"/>
      <c r="X9" s="40"/>
      <c r="Y9" s="40"/>
    </row>
    <row r="10" s="8" customFormat="1" customHeight="1" spans="1:25">
      <c r="A10" s="31">
        <f t="shared" si="1"/>
        <v>9</v>
      </c>
      <c r="B10" s="32">
        <v>46174</v>
      </c>
      <c r="C10" s="40" t="s">
        <v>443</v>
      </c>
      <c r="D10" s="40" t="s">
        <v>444</v>
      </c>
      <c r="E10" s="45" t="s">
        <v>18</v>
      </c>
      <c r="F10" s="35" t="s">
        <v>52</v>
      </c>
      <c r="G10" s="35" t="s">
        <v>39</v>
      </c>
      <c r="H10" s="36" t="str">
        <f>_xlfn.XLOOKUP(F10,产品资料!L:L,产品资料!K:K)</f>
        <v>平台</v>
      </c>
      <c r="I10" s="40" t="s">
        <v>466</v>
      </c>
      <c r="J10" s="40" t="s">
        <v>467</v>
      </c>
      <c r="K10" s="37" t="str">
        <f>_xlfn.XLOOKUP(L10,产品资料!D:D,产品资料!C:C)</f>
        <v>无</v>
      </c>
      <c r="L10" s="46" t="s">
        <v>422</v>
      </c>
      <c r="M10" s="33" t="s">
        <v>16</v>
      </c>
      <c r="N10" s="47">
        <v>1</v>
      </c>
      <c r="O10" s="47">
        <v>605</v>
      </c>
      <c r="P10" s="41">
        <f t="shared" si="0"/>
        <v>605</v>
      </c>
      <c r="Q10" s="33" t="s">
        <v>454</v>
      </c>
      <c r="R10" s="103" t="s">
        <v>45</v>
      </c>
      <c r="S10" s="40" t="s">
        <v>467</v>
      </c>
      <c r="T10" s="104" t="s">
        <v>45</v>
      </c>
      <c r="U10" s="45"/>
      <c r="V10" s="40"/>
      <c r="W10" s="40"/>
      <c r="X10" s="40"/>
      <c r="Y10" s="40"/>
    </row>
    <row r="11" s="8" customFormat="1" customHeight="1" spans="1:25">
      <c r="A11" s="31">
        <f t="shared" si="1"/>
        <v>10</v>
      </c>
      <c r="B11" s="32">
        <v>46174</v>
      </c>
      <c r="C11" s="40" t="s">
        <v>443</v>
      </c>
      <c r="D11" s="40" t="s">
        <v>444</v>
      </c>
      <c r="E11" s="45" t="s">
        <v>18</v>
      </c>
      <c r="F11" s="35" t="s">
        <v>50</v>
      </c>
      <c r="G11" s="35" t="s">
        <v>39</v>
      </c>
      <c r="H11" s="36" t="str">
        <f>_xlfn.XLOOKUP(F11,产品资料!L:L,产品资料!K:K)</f>
        <v>平台</v>
      </c>
      <c r="I11" s="40" t="s">
        <v>468</v>
      </c>
      <c r="J11" s="40" t="s">
        <v>469</v>
      </c>
      <c r="K11" s="37" t="str">
        <f>_xlfn.XLOOKUP(L11,产品资料!D:D,产品资料!C:C)</f>
        <v>无</v>
      </c>
      <c r="L11" s="46" t="s">
        <v>422</v>
      </c>
      <c r="M11" s="33" t="s">
        <v>16</v>
      </c>
      <c r="N11" s="47">
        <v>1</v>
      </c>
      <c r="O11" s="47">
        <v>200</v>
      </c>
      <c r="P11" s="41">
        <f t="shared" si="0"/>
        <v>200</v>
      </c>
      <c r="Q11" s="33" t="s">
        <v>454</v>
      </c>
      <c r="R11" s="103" t="s">
        <v>45</v>
      </c>
      <c r="S11" s="40" t="s">
        <v>469</v>
      </c>
      <c r="T11" s="104" t="s">
        <v>45</v>
      </c>
      <c r="U11" s="45"/>
      <c r="V11" s="40"/>
      <c r="W11" s="40"/>
      <c r="X11" s="40"/>
      <c r="Y11" s="40"/>
    </row>
    <row r="12" s="8" customFormat="1" customHeight="1" spans="1:25">
      <c r="A12" s="31">
        <f t="shared" si="1"/>
        <v>11</v>
      </c>
      <c r="B12" s="32">
        <v>46174</v>
      </c>
      <c r="C12" s="40" t="s">
        <v>443</v>
      </c>
      <c r="D12" s="40" t="s">
        <v>444</v>
      </c>
      <c r="E12" s="45" t="s">
        <v>18</v>
      </c>
      <c r="F12" s="35" t="s">
        <v>44</v>
      </c>
      <c r="G12" s="35" t="s">
        <v>39</v>
      </c>
      <c r="H12" s="36" t="str">
        <f>_xlfn.XLOOKUP(F12,产品资料!L:L,产品资料!K:K)</f>
        <v>平台</v>
      </c>
      <c r="I12" s="40" t="s">
        <v>448</v>
      </c>
      <c r="J12" s="40" t="s">
        <v>449</v>
      </c>
      <c r="K12" s="37" t="str">
        <f>_xlfn.XLOOKUP(L12,产品资料!D:D,产品资料!C:C)</f>
        <v>无</v>
      </c>
      <c r="L12" s="46" t="s">
        <v>422</v>
      </c>
      <c r="M12" s="33" t="s">
        <v>16</v>
      </c>
      <c r="N12" s="39">
        <v>1</v>
      </c>
      <c r="O12" s="40">
        <v>100</v>
      </c>
      <c r="P12" s="41">
        <f t="shared" si="0"/>
        <v>100</v>
      </c>
      <c r="Q12" s="33" t="s">
        <v>454</v>
      </c>
      <c r="R12" s="103" t="s">
        <v>45</v>
      </c>
      <c r="S12" s="40" t="s">
        <v>449</v>
      </c>
      <c r="T12" s="104" t="s">
        <v>45</v>
      </c>
      <c r="U12" s="45"/>
      <c r="V12" s="40"/>
      <c r="W12" s="40"/>
      <c r="X12" s="40"/>
      <c r="Y12" s="40"/>
    </row>
    <row r="13" s="8" customFormat="1" customHeight="1" spans="1:25">
      <c r="A13" s="31">
        <f t="shared" si="1"/>
        <v>12</v>
      </c>
      <c r="B13" s="32">
        <v>46174</v>
      </c>
      <c r="C13" s="40" t="s">
        <v>443</v>
      </c>
      <c r="D13" s="40" t="s">
        <v>470</v>
      </c>
      <c r="E13" s="45" t="s">
        <v>18</v>
      </c>
      <c r="F13" s="35" t="s">
        <v>48</v>
      </c>
      <c r="G13" s="35" t="s">
        <v>39</v>
      </c>
      <c r="H13" s="36" t="str">
        <f>_xlfn.XLOOKUP(F13,产品资料!L:L,产品资料!K:K)</f>
        <v>平台</v>
      </c>
      <c r="I13" s="40" t="s">
        <v>471</v>
      </c>
      <c r="J13" s="40" t="s">
        <v>472</v>
      </c>
      <c r="K13" s="37" t="str">
        <f>_xlfn.XLOOKUP(L13,产品资料!D:D,产品资料!C:C)</f>
        <v>无</v>
      </c>
      <c r="L13" s="46" t="s">
        <v>416</v>
      </c>
      <c r="M13" s="33" t="s">
        <v>16</v>
      </c>
      <c r="N13" s="39">
        <v>6</v>
      </c>
      <c r="O13" s="40">
        <v>450</v>
      </c>
      <c r="P13" s="41">
        <f t="shared" si="0"/>
        <v>2700</v>
      </c>
      <c r="Q13" s="33" t="s">
        <v>457</v>
      </c>
      <c r="R13" s="103" t="s">
        <v>45</v>
      </c>
      <c r="S13" s="40" t="s">
        <v>472</v>
      </c>
      <c r="T13" s="104" t="s">
        <v>45</v>
      </c>
      <c r="U13" s="45"/>
      <c r="V13" s="40" t="s">
        <v>369</v>
      </c>
      <c r="W13" s="40" t="s">
        <v>16</v>
      </c>
      <c r="X13" s="40">
        <v>1</v>
      </c>
      <c r="Y13" s="40">
        <v>300</v>
      </c>
    </row>
    <row r="14" s="8" customFormat="1" customHeight="1" spans="1:25">
      <c r="A14" s="31">
        <f t="shared" si="1"/>
        <v>13</v>
      </c>
      <c r="B14" s="32">
        <v>46174</v>
      </c>
      <c r="C14" s="40" t="s">
        <v>443</v>
      </c>
      <c r="D14" s="40" t="s">
        <v>470</v>
      </c>
      <c r="E14" s="45" t="s">
        <v>18</v>
      </c>
      <c r="F14" s="35" t="s">
        <v>33</v>
      </c>
      <c r="G14" s="35" t="s">
        <v>34</v>
      </c>
      <c r="H14" s="36" t="str">
        <f>_xlfn.XLOOKUP(F14,产品资料!L:L,产品资料!K:K)</f>
        <v>平台</v>
      </c>
      <c r="I14" s="40" t="s">
        <v>473</v>
      </c>
      <c r="J14" s="40" t="s">
        <v>474</v>
      </c>
      <c r="K14" s="37" t="str">
        <f>_xlfn.XLOOKUP(L14,产品资料!D:D,产品资料!C:C)</f>
        <v>OPPO</v>
      </c>
      <c r="L14" s="46" t="s">
        <v>85</v>
      </c>
      <c r="M14" s="40" t="s">
        <v>16</v>
      </c>
      <c r="N14" s="39">
        <v>3</v>
      </c>
      <c r="O14" s="40"/>
      <c r="P14" s="41">
        <f t="shared" si="0"/>
        <v>0</v>
      </c>
      <c r="Q14" s="40"/>
      <c r="R14" s="42"/>
      <c r="S14" s="40" t="s">
        <v>474</v>
      </c>
      <c r="T14" s="33" t="s">
        <v>475</v>
      </c>
      <c r="U14" s="45"/>
      <c r="V14" s="40"/>
      <c r="W14" s="40"/>
      <c r="X14" s="40"/>
      <c r="Y14" s="40"/>
    </row>
    <row r="15" s="8" customFormat="1" customHeight="1" spans="1:25">
      <c r="A15" s="31">
        <f t="shared" si="1"/>
        <v>14</v>
      </c>
      <c r="B15" s="32">
        <v>46174</v>
      </c>
      <c r="C15" s="40" t="s">
        <v>443</v>
      </c>
      <c r="D15" s="40" t="s">
        <v>470</v>
      </c>
      <c r="E15" s="45" t="s">
        <v>18</v>
      </c>
      <c r="F15" s="35" t="s">
        <v>33</v>
      </c>
      <c r="G15" s="35" t="s">
        <v>34</v>
      </c>
      <c r="H15" s="36" t="str">
        <f>_xlfn.XLOOKUP(F15,产品资料!L:L,产品资料!K:K)</f>
        <v>平台</v>
      </c>
      <c r="I15" s="40" t="s">
        <v>476</v>
      </c>
      <c r="J15" s="40" t="s">
        <v>477</v>
      </c>
      <c r="K15" s="37" t="str">
        <f>_xlfn.XLOOKUP(L15,产品资料!D:D,产品资料!C:C)</f>
        <v>OPPO</v>
      </c>
      <c r="L15" s="46" t="s">
        <v>91</v>
      </c>
      <c r="M15" s="40" t="s">
        <v>16</v>
      </c>
      <c r="N15" s="39">
        <v>10</v>
      </c>
      <c r="O15" s="40"/>
      <c r="P15" s="41">
        <f t="shared" si="0"/>
        <v>0</v>
      </c>
      <c r="Q15" s="40"/>
      <c r="R15" s="42"/>
      <c r="S15" s="40" t="s">
        <v>477</v>
      </c>
      <c r="T15" s="33" t="s">
        <v>475</v>
      </c>
      <c r="U15" s="45"/>
      <c r="V15" s="40"/>
      <c r="W15" s="40"/>
      <c r="X15" s="40"/>
      <c r="Y15" s="40"/>
    </row>
    <row r="16" s="8" customFormat="1" customHeight="1" spans="1:25">
      <c r="A16" s="31">
        <f t="shared" si="1"/>
        <v>15</v>
      </c>
      <c r="B16" s="32">
        <v>46174</v>
      </c>
      <c r="C16" s="40" t="s">
        <v>443</v>
      </c>
      <c r="D16" s="40" t="s">
        <v>444</v>
      </c>
      <c r="E16" s="45" t="s">
        <v>18</v>
      </c>
      <c r="F16" s="48"/>
      <c r="G16" s="35" t="s">
        <v>34</v>
      </c>
      <c r="H16" s="36">
        <f>_xlfn.XLOOKUP(F16,产品资料!L:L,产品资料!K:K)</f>
        <v>0</v>
      </c>
      <c r="I16" s="40" t="s">
        <v>478</v>
      </c>
      <c r="J16" s="40" t="s">
        <v>479</v>
      </c>
      <c r="K16" s="37" t="str">
        <f>_xlfn.XLOOKUP(L16,产品资料!D:D,产品资料!C:C)</f>
        <v>无</v>
      </c>
      <c r="L16" s="46" t="s">
        <v>422</v>
      </c>
      <c r="M16" s="33" t="s">
        <v>16</v>
      </c>
      <c r="N16" s="39">
        <v>1</v>
      </c>
      <c r="O16" s="40">
        <v>360</v>
      </c>
      <c r="P16" s="41">
        <f t="shared" si="0"/>
        <v>360</v>
      </c>
      <c r="Q16" s="40" t="s">
        <v>480</v>
      </c>
      <c r="R16" s="42"/>
      <c r="S16" s="40"/>
      <c r="T16" s="33"/>
      <c r="U16" s="45"/>
      <c r="V16" s="40"/>
      <c r="W16" s="40"/>
      <c r="X16" s="40"/>
      <c r="Y16" s="40"/>
    </row>
    <row r="17" s="8" customFormat="1" customHeight="1" spans="1:25">
      <c r="A17" s="31" t="str">
        <f t="shared" si="1"/>
        <v>-</v>
      </c>
      <c r="B17" s="32"/>
      <c r="C17" s="40"/>
      <c r="D17" s="40"/>
      <c r="E17" s="45"/>
      <c r="F17" s="35"/>
      <c r="G17" s="35"/>
      <c r="H17" s="36">
        <f>_xlfn.XLOOKUP(F17,产品资料!L:L,产品资料!K:K)</f>
        <v>0</v>
      </c>
      <c r="I17" s="40"/>
      <c r="J17" s="40"/>
      <c r="K17" s="37">
        <f>_xlfn.XLOOKUP(L17,产品资料!D:D,产品资料!C:C)</f>
        <v>0</v>
      </c>
      <c r="L17" s="46"/>
      <c r="M17" s="40"/>
      <c r="N17" s="39"/>
      <c r="O17" s="40"/>
      <c r="P17" s="41">
        <f t="shared" si="0"/>
        <v>0</v>
      </c>
      <c r="Q17" s="40"/>
      <c r="R17" s="40"/>
      <c r="S17" s="40"/>
      <c r="T17" s="33"/>
      <c r="U17" s="45"/>
      <c r="V17" s="40"/>
      <c r="W17" s="40"/>
      <c r="X17" s="40"/>
      <c r="Y17" s="40"/>
    </row>
    <row r="18" s="8" customFormat="1" customHeight="1" spans="1:25">
      <c r="A18" s="31" t="str">
        <f t="shared" si="1"/>
        <v>-</v>
      </c>
      <c r="B18" s="32"/>
      <c r="C18" s="40"/>
      <c r="D18" s="40"/>
      <c r="E18" s="45"/>
      <c r="F18" s="33"/>
      <c r="G18" s="33"/>
      <c r="H18" s="36">
        <f>_xlfn.XLOOKUP(F18,产品资料!L:L,产品资料!K:K)</f>
        <v>0</v>
      </c>
      <c r="I18" s="40"/>
      <c r="J18" s="40"/>
      <c r="K18" s="37">
        <f>_xlfn.XLOOKUP(L18,产品资料!D:D,产品资料!C:C)</f>
        <v>0</v>
      </c>
      <c r="L18" s="46"/>
      <c r="M18" s="40"/>
      <c r="N18" s="39"/>
      <c r="O18" s="40"/>
      <c r="P18" s="41">
        <f t="shared" si="0"/>
        <v>0</v>
      </c>
      <c r="Q18" s="40"/>
      <c r="R18" s="40"/>
      <c r="S18" s="40"/>
      <c r="T18" s="33"/>
      <c r="U18" s="45"/>
      <c r="V18" s="49"/>
      <c r="W18" s="49"/>
      <c r="X18" s="40"/>
      <c r="Y18" s="40"/>
    </row>
    <row r="19" s="8" customFormat="1" customHeight="1" spans="1:25">
      <c r="A19" s="31" t="str">
        <f t="shared" si="1"/>
        <v>-</v>
      </c>
      <c r="B19" s="32"/>
      <c r="C19" s="40"/>
      <c r="D19" s="40"/>
      <c r="E19" s="45"/>
      <c r="F19" s="33"/>
      <c r="G19" s="33"/>
      <c r="H19" s="36">
        <f>_xlfn.XLOOKUP(F19,产品资料!L:L,产品资料!K:K)</f>
        <v>0</v>
      </c>
      <c r="I19" s="40"/>
      <c r="J19" s="40"/>
      <c r="K19" s="37">
        <f>_xlfn.XLOOKUP(L19,产品资料!D:D,产品资料!C:C)</f>
        <v>0</v>
      </c>
      <c r="L19" s="46"/>
      <c r="M19" s="40"/>
      <c r="N19" s="39"/>
      <c r="O19" s="40"/>
      <c r="P19" s="41">
        <f t="shared" si="0"/>
        <v>0</v>
      </c>
      <c r="Q19" s="40"/>
      <c r="R19" s="40"/>
      <c r="S19" s="40"/>
      <c r="T19" s="33"/>
      <c r="U19" s="45"/>
      <c r="V19" s="40"/>
      <c r="W19" s="40"/>
      <c r="X19" s="40"/>
      <c r="Y19" s="40"/>
    </row>
    <row r="20" s="8" customFormat="1" customHeight="1" spans="1:25">
      <c r="A20" s="31" t="str">
        <f t="shared" si="1"/>
        <v>-</v>
      </c>
      <c r="B20" s="32"/>
      <c r="C20" s="40"/>
      <c r="D20" s="40"/>
      <c r="E20" s="45"/>
      <c r="F20" s="35"/>
      <c r="G20" s="35"/>
      <c r="H20" s="36">
        <f>_xlfn.XLOOKUP(F20,产品资料!L:L,产品资料!K:K)</f>
        <v>0</v>
      </c>
      <c r="I20" s="40"/>
      <c r="J20" s="40"/>
      <c r="K20" s="37">
        <f>_xlfn.XLOOKUP(L20,产品资料!D:D,产品资料!C:C)</f>
        <v>0</v>
      </c>
      <c r="L20" s="46"/>
      <c r="M20" s="40"/>
      <c r="N20" s="39"/>
      <c r="O20" s="40"/>
      <c r="P20" s="41">
        <f t="shared" si="0"/>
        <v>0</v>
      </c>
      <c r="Q20" s="40"/>
      <c r="R20" s="40"/>
      <c r="S20" s="40"/>
      <c r="T20" s="33"/>
      <c r="U20" s="45"/>
      <c r="V20" s="40"/>
      <c r="W20" s="40"/>
      <c r="X20" s="40"/>
      <c r="Y20" s="40"/>
    </row>
    <row r="21" s="8" customFormat="1" customHeight="1" spans="1:25">
      <c r="A21" s="31" t="str">
        <f t="shared" si="1"/>
        <v>-</v>
      </c>
      <c r="B21" s="32"/>
      <c r="C21" s="40"/>
      <c r="D21" s="40"/>
      <c r="E21" s="45"/>
      <c r="F21" s="35"/>
      <c r="G21" s="35"/>
      <c r="H21" s="36">
        <f>_xlfn.XLOOKUP(F21,产品资料!L:L,产品资料!K:K)</f>
        <v>0</v>
      </c>
      <c r="I21" s="40"/>
      <c r="J21" s="40"/>
      <c r="K21" s="37">
        <f>_xlfn.XLOOKUP(L21,产品资料!D:D,产品资料!C:C)</f>
        <v>0</v>
      </c>
      <c r="L21" s="46"/>
      <c r="M21" s="40"/>
      <c r="N21" s="39"/>
      <c r="O21" s="40"/>
      <c r="P21" s="41">
        <f t="shared" si="0"/>
        <v>0</v>
      </c>
      <c r="Q21" s="40"/>
      <c r="R21" s="40"/>
      <c r="S21" s="40"/>
      <c r="T21" s="33"/>
      <c r="U21" s="45"/>
      <c r="V21" s="40"/>
      <c r="W21" s="40"/>
      <c r="X21" s="40"/>
      <c r="Y21" s="40"/>
    </row>
    <row r="22" s="8" customFormat="1" customHeight="1" spans="1:25">
      <c r="A22" s="31" t="str">
        <f t="shared" si="1"/>
        <v>-</v>
      </c>
      <c r="B22" s="32"/>
      <c r="C22" s="40"/>
      <c r="D22" s="40"/>
      <c r="E22" s="45"/>
      <c r="F22" s="33"/>
      <c r="G22" s="33"/>
      <c r="H22" s="36">
        <f>_xlfn.XLOOKUP(F22,产品资料!L:L,产品资料!K:K)</f>
        <v>0</v>
      </c>
      <c r="I22" s="40"/>
      <c r="J22" s="40"/>
      <c r="K22" s="37">
        <f>_xlfn.XLOOKUP(L22,产品资料!D:D,产品资料!C:C)</f>
        <v>0</v>
      </c>
      <c r="L22" s="38"/>
      <c r="M22" s="33"/>
      <c r="N22" s="39"/>
      <c r="O22" s="40"/>
      <c r="P22" s="41">
        <f t="shared" si="0"/>
        <v>0</v>
      </c>
      <c r="Q22" s="40"/>
      <c r="R22" s="40"/>
      <c r="S22" s="40"/>
      <c r="T22" s="33"/>
      <c r="U22" s="45"/>
      <c r="V22" s="40"/>
      <c r="W22" s="40"/>
      <c r="X22" s="40"/>
      <c r="Y22" s="40"/>
    </row>
    <row r="23" s="8" customFormat="1" customHeight="1" spans="1:25">
      <c r="A23" s="31" t="str">
        <f t="shared" si="1"/>
        <v>-</v>
      </c>
      <c r="B23" s="32"/>
      <c r="C23" s="40"/>
      <c r="D23" s="40"/>
      <c r="E23" s="45"/>
      <c r="F23" s="33"/>
      <c r="G23" s="33"/>
      <c r="H23" s="36">
        <f>_xlfn.XLOOKUP(F23,产品资料!L:L,产品资料!K:K)</f>
        <v>0</v>
      </c>
      <c r="I23" s="40"/>
      <c r="J23" s="40"/>
      <c r="K23" s="37">
        <f>_xlfn.XLOOKUP(L23,产品资料!D:D,产品资料!C:C)</f>
        <v>0</v>
      </c>
      <c r="L23" s="38"/>
      <c r="M23" s="33"/>
      <c r="N23" s="39"/>
      <c r="O23" s="40"/>
      <c r="P23" s="41">
        <f t="shared" si="0"/>
        <v>0</v>
      </c>
      <c r="Q23" s="40"/>
      <c r="R23" s="40"/>
      <c r="S23" s="40"/>
      <c r="T23" s="33"/>
      <c r="U23" s="45"/>
      <c r="V23" s="40"/>
      <c r="W23" s="40"/>
      <c r="X23" s="40"/>
      <c r="Y23" s="40"/>
    </row>
    <row r="24" s="8" customFormat="1" customHeight="1" spans="1:25">
      <c r="A24" s="31" t="str">
        <f t="shared" si="1"/>
        <v>-</v>
      </c>
      <c r="B24" s="32"/>
      <c r="C24" s="40"/>
      <c r="D24" s="40"/>
      <c r="E24" s="45"/>
      <c r="F24" s="33"/>
      <c r="G24" s="33"/>
      <c r="H24" s="36">
        <f>_xlfn.XLOOKUP(F24,产品资料!L:L,产品资料!K:K)</f>
        <v>0</v>
      </c>
      <c r="I24" s="40"/>
      <c r="J24" s="40"/>
      <c r="K24" s="37">
        <f>_xlfn.XLOOKUP(L24,产品资料!D:D,产品资料!C:C)</f>
        <v>0</v>
      </c>
      <c r="L24" s="46"/>
      <c r="M24" s="40"/>
      <c r="N24" s="50"/>
      <c r="O24" s="40"/>
      <c r="P24" s="41">
        <f t="shared" si="0"/>
        <v>0</v>
      </c>
      <c r="Q24" s="40"/>
      <c r="R24" s="40"/>
      <c r="S24" s="40"/>
      <c r="T24" s="33"/>
      <c r="U24" s="45"/>
      <c r="V24" s="40"/>
      <c r="W24" s="40"/>
      <c r="X24" s="40"/>
      <c r="Y24" s="40"/>
    </row>
    <row r="25" s="8" customFormat="1" customHeight="1" spans="1:25">
      <c r="A25" s="31" t="str">
        <f t="shared" si="1"/>
        <v>-</v>
      </c>
      <c r="B25" s="32"/>
      <c r="C25" s="40"/>
      <c r="D25" s="40"/>
      <c r="E25" s="45"/>
      <c r="F25" s="33"/>
      <c r="G25" s="33"/>
      <c r="H25" s="36">
        <f>_xlfn.XLOOKUP(F25,产品资料!L:L,产品资料!K:K)</f>
        <v>0</v>
      </c>
      <c r="I25" s="40"/>
      <c r="J25" s="40"/>
      <c r="K25" s="37">
        <f>_xlfn.XLOOKUP(L25,产品资料!D:D,产品资料!C:C)</f>
        <v>0</v>
      </c>
      <c r="L25" s="46"/>
      <c r="M25" s="40"/>
      <c r="N25" s="39"/>
      <c r="O25" s="40"/>
      <c r="P25" s="41">
        <f t="shared" si="0"/>
        <v>0</v>
      </c>
      <c r="Q25" s="40"/>
      <c r="R25" s="51"/>
      <c r="S25" s="40"/>
      <c r="T25" s="33"/>
      <c r="U25" s="45"/>
      <c r="V25" s="40"/>
      <c r="W25" s="40"/>
      <c r="X25" s="40"/>
      <c r="Y25" s="40"/>
    </row>
    <row r="26" s="8" customFormat="1" customHeight="1" spans="1:25">
      <c r="A26" s="31" t="str">
        <f t="shared" si="1"/>
        <v>-</v>
      </c>
      <c r="B26" s="32"/>
      <c r="C26" s="40"/>
      <c r="D26" s="40"/>
      <c r="E26" s="45"/>
      <c r="F26" s="33"/>
      <c r="G26" s="33"/>
      <c r="H26" s="36">
        <f>_xlfn.XLOOKUP(F26,产品资料!L:L,产品资料!K:K)</f>
        <v>0</v>
      </c>
      <c r="I26" s="40"/>
      <c r="J26" s="40"/>
      <c r="K26" s="37">
        <f>_xlfn.XLOOKUP(L26,产品资料!D:D,产品资料!C:C)</f>
        <v>0</v>
      </c>
      <c r="L26" s="46"/>
      <c r="M26" s="40"/>
      <c r="N26" s="39"/>
      <c r="O26" s="40"/>
      <c r="P26" s="41">
        <f t="shared" si="0"/>
        <v>0</v>
      </c>
      <c r="Q26" s="40"/>
      <c r="R26" s="40"/>
      <c r="S26" s="40"/>
      <c r="T26" s="33"/>
      <c r="U26" s="45"/>
      <c r="V26" s="40"/>
      <c r="W26" s="40"/>
      <c r="X26" s="40"/>
      <c r="Y26" s="40"/>
    </row>
    <row r="27" s="8" customFormat="1" customHeight="1" spans="1:25">
      <c r="A27" s="31" t="str">
        <f t="shared" si="1"/>
        <v>-</v>
      </c>
      <c r="B27" s="32"/>
      <c r="C27" s="40"/>
      <c r="D27" s="40"/>
      <c r="E27" s="45"/>
      <c r="F27" s="33"/>
      <c r="G27" s="33"/>
      <c r="H27" s="36">
        <f>_xlfn.XLOOKUP(F27,产品资料!L:L,产品资料!K:K)</f>
        <v>0</v>
      </c>
      <c r="I27" s="40"/>
      <c r="J27" s="40"/>
      <c r="K27" s="37">
        <f>_xlfn.XLOOKUP(L27,产品资料!D:D,产品资料!C:C)</f>
        <v>0</v>
      </c>
      <c r="L27" s="46"/>
      <c r="M27" s="40"/>
      <c r="N27" s="39"/>
      <c r="O27" s="40"/>
      <c r="P27" s="41">
        <f t="shared" si="0"/>
        <v>0</v>
      </c>
      <c r="Q27" s="40"/>
      <c r="R27" s="40"/>
      <c r="S27" s="40"/>
      <c r="T27" s="33"/>
      <c r="U27" s="45"/>
      <c r="V27" s="40"/>
      <c r="W27" s="40"/>
      <c r="X27" s="40"/>
      <c r="Y27" s="40"/>
    </row>
    <row r="28" s="8" customFormat="1" customHeight="1" spans="1:25">
      <c r="A28" s="31" t="str">
        <f t="shared" si="1"/>
        <v>-</v>
      </c>
      <c r="B28" s="32"/>
      <c r="C28" s="40"/>
      <c r="D28" s="40"/>
      <c r="E28" s="45"/>
      <c r="F28" s="33"/>
      <c r="G28" s="33"/>
      <c r="H28" s="36">
        <f>_xlfn.XLOOKUP(F28,产品资料!L:L,产品资料!K:K)</f>
        <v>0</v>
      </c>
      <c r="I28" s="40"/>
      <c r="J28" s="40"/>
      <c r="K28" s="37">
        <f>_xlfn.XLOOKUP(L28,产品资料!D:D,产品资料!C:C)</f>
        <v>0</v>
      </c>
      <c r="L28" s="46"/>
      <c r="M28" s="40"/>
      <c r="N28" s="39"/>
      <c r="O28" s="40"/>
      <c r="P28" s="41">
        <f t="shared" si="0"/>
        <v>0</v>
      </c>
      <c r="Q28" s="40"/>
      <c r="R28" s="40"/>
      <c r="S28" s="40"/>
      <c r="T28" s="33"/>
      <c r="U28" s="45"/>
      <c r="V28" s="40"/>
      <c r="W28" s="40"/>
      <c r="X28" s="40"/>
      <c r="Y28" s="40"/>
    </row>
    <row r="29" s="8" customFormat="1" customHeight="1" spans="1:25">
      <c r="A29" s="31" t="str">
        <f t="shared" si="1"/>
        <v>-</v>
      </c>
      <c r="B29" s="32"/>
      <c r="C29" s="40"/>
      <c r="D29" s="40"/>
      <c r="E29" s="45"/>
      <c r="F29" s="33"/>
      <c r="G29" s="33"/>
      <c r="H29" s="36">
        <f>_xlfn.XLOOKUP(F29,产品资料!L:L,产品资料!K:K)</f>
        <v>0</v>
      </c>
      <c r="I29" s="40"/>
      <c r="J29" s="40"/>
      <c r="K29" s="37">
        <f>_xlfn.XLOOKUP(L29,产品资料!D:D,产品资料!C:C)</f>
        <v>0</v>
      </c>
      <c r="L29" s="46"/>
      <c r="M29" s="40"/>
      <c r="N29" s="39"/>
      <c r="O29" s="40"/>
      <c r="P29" s="41">
        <f t="shared" si="0"/>
        <v>0</v>
      </c>
      <c r="Q29" s="40"/>
      <c r="R29" s="40"/>
      <c r="S29" s="40"/>
      <c r="T29" s="33"/>
      <c r="U29" s="45"/>
      <c r="V29" s="40"/>
      <c r="W29" s="40"/>
      <c r="X29" s="40"/>
      <c r="Y29" s="40"/>
    </row>
    <row r="30" s="8" customFormat="1" customHeight="1" spans="1:25">
      <c r="A30" s="31" t="str">
        <f t="shared" si="1"/>
        <v>-</v>
      </c>
      <c r="B30" s="32"/>
      <c r="C30" s="40"/>
      <c r="D30" s="40"/>
      <c r="E30" s="45"/>
      <c r="F30" s="33"/>
      <c r="G30" s="33"/>
      <c r="H30" s="36">
        <f>_xlfn.XLOOKUP(F30,产品资料!L:L,产品资料!K:K)</f>
        <v>0</v>
      </c>
      <c r="I30" s="40"/>
      <c r="J30" s="40"/>
      <c r="K30" s="37">
        <f>_xlfn.XLOOKUP(L30,产品资料!D:D,产品资料!C:C)</f>
        <v>0</v>
      </c>
      <c r="L30" s="46"/>
      <c r="M30" s="40"/>
      <c r="N30" s="39"/>
      <c r="O30" s="40"/>
      <c r="P30" s="41">
        <f t="shared" ref="P30:P60" si="2">N30*O30</f>
        <v>0</v>
      </c>
      <c r="Q30" s="40"/>
      <c r="R30" s="40"/>
      <c r="S30" s="40"/>
      <c r="T30" s="33"/>
      <c r="U30" s="45"/>
      <c r="V30" s="40"/>
      <c r="W30" s="40"/>
      <c r="X30" s="40"/>
      <c r="Y30" s="40"/>
    </row>
    <row r="31" s="8" customFormat="1" customHeight="1" spans="1:25">
      <c r="A31" s="31" t="str">
        <f t="shared" si="1"/>
        <v>-</v>
      </c>
      <c r="B31" s="32"/>
      <c r="C31" s="40"/>
      <c r="D31" s="40"/>
      <c r="E31" s="45"/>
      <c r="F31" s="33"/>
      <c r="G31" s="33"/>
      <c r="H31" s="36">
        <f>_xlfn.XLOOKUP(F31,产品资料!L:L,产品资料!K:K)</f>
        <v>0</v>
      </c>
      <c r="I31" s="40"/>
      <c r="J31" s="40"/>
      <c r="K31" s="37">
        <f>_xlfn.XLOOKUP(L31,产品资料!D:D,产品资料!C:C)</f>
        <v>0</v>
      </c>
      <c r="L31" s="46"/>
      <c r="M31" s="40"/>
      <c r="N31" s="39"/>
      <c r="O31" s="40"/>
      <c r="P31" s="41">
        <f t="shared" si="2"/>
        <v>0</v>
      </c>
      <c r="Q31" s="40"/>
      <c r="R31" s="40"/>
      <c r="S31" s="40"/>
      <c r="T31" s="33"/>
      <c r="U31" s="45"/>
      <c r="V31" s="40"/>
      <c r="W31" s="40"/>
      <c r="X31" s="40"/>
      <c r="Y31" s="40"/>
    </row>
    <row r="32" s="8" customFormat="1" customHeight="1" spans="1:25">
      <c r="A32" s="31" t="str">
        <f t="shared" si="1"/>
        <v>-</v>
      </c>
      <c r="B32" s="32"/>
      <c r="C32" s="40"/>
      <c r="D32" s="40"/>
      <c r="E32" s="45"/>
      <c r="F32" s="33"/>
      <c r="G32" s="33"/>
      <c r="H32" s="36">
        <f>_xlfn.XLOOKUP(F32,产品资料!L:L,产品资料!K:K)</f>
        <v>0</v>
      </c>
      <c r="I32" s="40"/>
      <c r="J32" s="40"/>
      <c r="K32" s="37">
        <f>_xlfn.XLOOKUP(L32,产品资料!D:D,产品资料!C:C)</f>
        <v>0</v>
      </c>
      <c r="L32" s="46"/>
      <c r="M32" s="40"/>
      <c r="N32" s="39"/>
      <c r="O32" s="40"/>
      <c r="P32" s="41">
        <f t="shared" si="2"/>
        <v>0</v>
      </c>
      <c r="Q32" s="40"/>
      <c r="R32" s="40"/>
      <c r="S32" s="40"/>
      <c r="T32" s="33"/>
      <c r="U32" s="45"/>
      <c r="V32" s="40"/>
      <c r="W32" s="40"/>
      <c r="X32" s="40"/>
      <c r="Y32" s="40"/>
    </row>
    <row r="33" s="8" customFormat="1" customHeight="1" spans="1:25">
      <c r="A33" s="31" t="str">
        <f t="shared" si="1"/>
        <v>-</v>
      </c>
      <c r="B33" s="32"/>
      <c r="C33" s="40"/>
      <c r="D33" s="40"/>
      <c r="E33" s="45"/>
      <c r="F33" s="33"/>
      <c r="G33" s="33"/>
      <c r="H33" s="36">
        <f>_xlfn.XLOOKUP(F33,产品资料!L:L,产品资料!K:K)</f>
        <v>0</v>
      </c>
      <c r="I33" s="40"/>
      <c r="J33" s="40"/>
      <c r="K33" s="37">
        <f>_xlfn.XLOOKUP(L33,产品资料!D:D,产品资料!C:C)</f>
        <v>0</v>
      </c>
      <c r="L33" s="46"/>
      <c r="M33" s="40"/>
      <c r="N33" s="39"/>
      <c r="O33" s="40"/>
      <c r="P33" s="41">
        <f t="shared" si="2"/>
        <v>0</v>
      </c>
      <c r="Q33" s="40"/>
      <c r="R33" s="40"/>
      <c r="S33" s="40"/>
      <c r="T33" s="33"/>
      <c r="U33" s="45"/>
      <c r="V33" s="40"/>
      <c r="W33" s="40"/>
      <c r="X33" s="40"/>
      <c r="Y33" s="40"/>
    </row>
    <row r="34" s="8" customFormat="1" customHeight="1" spans="1:25">
      <c r="A34" s="31" t="str">
        <f t="shared" si="1"/>
        <v>-</v>
      </c>
      <c r="B34" s="32"/>
      <c r="C34" s="40"/>
      <c r="D34" s="40"/>
      <c r="E34" s="45"/>
      <c r="F34" s="33"/>
      <c r="G34" s="33"/>
      <c r="H34" s="36">
        <f>_xlfn.XLOOKUP(F34,产品资料!L:L,产品资料!K:K)</f>
        <v>0</v>
      </c>
      <c r="I34" s="40"/>
      <c r="J34" s="40"/>
      <c r="K34" s="37">
        <f>_xlfn.XLOOKUP(L34,产品资料!D:D,产品资料!C:C)</f>
        <v>0</v>
      </c>
      <c r="L34" s="46"/>
      <c r="M34" s="40"/>
      <c r="N34" s="39"/>
      <c r="O34" s="40"/>
      <c r="P34" s="41">
        <f t="shared" si="2"/>
        <v>0</v>
      </c>
      <c r="Q34" s="40"/>
      <c r="R34" s="40"/>
      <c r="S34" s="40"/>
      <c r="T34" s="33"/>
      <c r="U34" s="45"/>
      <c r="V34" s="40"/>
      <c r="W34" s="40"/>
      <c r="X34" s="40"/>
      <c r="Y34" s="40"/>
    </row>
    <row r="35" s="8" customFormat="1" ht="16.5" customHeight="1" spans="1:25">
      <c r="A35" s="31" t="str">
        <f t="shared" ref="A35:A66" si="3">IF(B35="","-",ROW(A34))</f>
        <v>-</v>
      </c>
      <c r="B35" s="32"/>
      <c r="C35" s="40"/>
      <c r="D35" s="40"/>
      <c r="E35" s="45"/>
      <c r="F35" s="33"/>
      <c r="G35" s="33"/>
      <c r="H35" s="36">
        <f>_xlfn.XLOOKUP(F35,产品资料!L:L,产品资料!K:K)</f>
        <v>0</v>
      </c>
      <c r="I35" s="40"/>
      <c r="J35" s="40"/>
      <c r="K35" s="37">
        <f>_xlfn.XLOOKUP(L35,产品资料!D:D,产品资料!C:C)</f>
        <v>0</v>
      </c>
      <c r="L35" s="38"/>
      <c r="M35" s="33"/>
      <c r="N35" s="39"/>
      <c r="O35" s="40"/>
      <c r="P35" s="41">
        <f t="shared" si="2"/>
        <v>0</v>
      </c>
      <c r="Q35" s="40"/>
      <c r="R35" s="40"/>
      <c r="S35" s="40"/>
      <c r="T35" s="33"/>
      <c r="U35" s="45"/>
      <c r="V35" s="40"/>
      <c r="W35" s="40"/>
      <c r="X35" s="40"/>
      <c r="Y35" s="40"/>
    </row>
    <row r="36" s="8" customFormat="1" customHeight="1" spans="1:25">
      <c r="A36" s="31" t="str">
        <f t="shared" si="3"/>
        <v>-</v>
      </c>
      <c r="B36" s="32"/>
      <c r="C36" s="40"/>
      <c r="D36" s="40"/>
      <c r="E36" s="45"/>
      <c r="F36" s="33"/>
      <c r="G36" s="33"/>
      <c r="H36" s="36">
        <f>_xlfn.XLOOKUP(F36,产品资料!L:L,产品资料!K:K)</f>
        <v>0</v>
      </c>
      <c r="I36" s="40"/>
      <c r="J36" s="40"/>
      <c r="K36" s="37">
        <f>_xlfn.XLOOKUP(L36,产品资料!D:D,产品资料!C:C)</f>
        <v>0</v>
      </c>
      <c r="L36" s="38"/>
      <c r="M36" s="33"/>
      <c r="N36" s="39"/>
      <c r="O36" s="40"/>
      <c r="P36" s="41">
        <f t="shared" si="2"/>
        <v>0</v>
      </c>
      <c r="Q36" s="40"/>
      <c r="R36" s="40"/>
      <c r="S36" s="40"/>
      <c r="T36" s="33"/>
      <c r="U36" s="45"/>
      <c r="V36" s="40"/>
      <c r="W36" s="40"/>
      <c r="X36" s="40"/>
      <c r="Y36" s="40"/>
    </row>
    <row r="37" s="8" customFormat="1" customHeight="1" spans="1:25">
      <c r="A37" s="31" t="str">
        <f t="shared" si="3"/>
        <v>-</v>
      </c>
      <c r="B37" s="32"/>
      <c r="C37" s="40"/>
      <c r="D37" s="40"/>
      <c r="E37" s="45"/>
      <c r="F37" s="33"/>
      <c r="G37" s="33"/>
      <c r="H37" s="36">
        <f>_xlfn.XLOOKUP(F37,产品资料!L:L,产品资料!K:K)</f>
        <v>0</v>
      </c>
      <c r="I37" s="40"/>
      <c r="J37" s="40"/>
      <c r="K37" s="37">
        <f>_xlfn.XLOOKUP(L37,产品资料!D:D,产品资料!C:C)</f>
        <v>0</v>
      </c>
      <c r="L37" s="46"/>
      <c r="M37" s="33"/>
      <c r="N37" s="39"/>
      <c r="O37" s="40"/>
      <c r="P37" s="41">
        <f t="shared" si="2"/>
        <v>0</v>
      </c>
      <c r="Q37" s="40"/>
      <c r="R37" s="40"/>
      <c r="S37" s="40"/>
      <c r="T37" s="33"/>
      <c r="U37" s="45"/>
      <c r="V37" s="40"/>
      <c r="W37" s="40"/>
      <c r="X37" s="40"/>
      <c r="Y37" s="40"/>
    </row>
    <row r="38" s="8" customFormat="1" customHeight="1" spans="1:25">
      <c r="A38" s="31" t="str">
        <f t="shared" si="3"/>
        <v>-</v>
      </c>
      <c r="B38" s="32"/>
      <c r="C38" s="40"/>
      <c r="D38" s="40"/>
      <c r="E38" s="45"/>
      <c r="F38" s="33"/>
      <c r="G38" s="33"/>
      <c r="H38" s="36">
        <f>_xlfn.XLOOKUP(F38,产品资料!L:L,产品资料!K:K)</f>
        <v>0</v>
      </c>
      <c r="I38" s="40"/>
      <c r="J38" s="40"/>
      <c r="K38" s="37">
        <f>_xlfn.XLOOKUP(L38,产品资料!D:D,产品资料!C:C)</f>
        <v>0</v>
      </c>
      <c r="L38" s="46"/>
      <c r="M38" s="33"/>
      <c r="N38" s="39"/>
      <c r="O38" s="40"/>
      <c r="P38" s="41">
        <f t="shared" si="2"/>
        <v>0</v>
      </c>
      <c r="Q38" s="40"/>
      <c r="R38" s="40"/>
      <c r="S38" s="40"/>
      <c r="T38" s="33"/>
      <c r="U38" s="45"/>
      <c r="V38" s="40"/>
      <c r="W38" s="40"/>
      <c r="X38" s="40"/>
      <c r="Y38" s="40"/>
    </row>
    <row r="39" s="8" customFormat="1" customHeight="1" spans="1:25">
      <c r="A39" s="31" t="str">
        <f t="shared" si="3"/>
        <v>-</v>
      </c>
      <c r="B39" s="32"/>
      <c r="C39" s="40"/>
      <c r="D39" s="40"/>
      <c r="E39" s="45"/>
      <c r="F39" s="33"/>
      <c r="G39" s="33"/>
      <c r="H39" s="36">
        <f>_xlfn.XLOOKUP(F39,产品资料!L:L,产品资料!K:K)</f>
        <v>0</v>
      </c>
      <c r="I39" s="40"/>
      <c r="J39" s="40"/>
      <c r="K39" s="37">
        <f>_xlfn.XLOOKUP(L39,产品资料!D:D,产品资料!C:C)</f>
        <v>0</v>
      </c>
      <c r="L39" s="46"/>
      <c r="M39" s="33"/>
      <c r="N39" s="39"/>
      <c r="O39" s="40"/>
      <c r="P39" s="41">
        <f t="shared" si="2"/>
        <v>0</v>
      </c>
      <c r="Q39" s="40"/>
      <c r="R39" s="40"/>
      <c r="S39" s="40"/>
      <c r="T39" s="33"/>
      <c r="U39" s="45"/>
      <c r="V39" s="40"/>
      <c r="W39" s="40"/>
      <c r="X39" s="40"/>
      <c r="Y39" s="40"/>
    </row>
    <row r="40" s="8" customFormat="1" customHeight="1" spans="1:25">
      <c r="A40" s="31" t="str">
        <f t="shared" si="3"/>
        <v>-</v>
      </c>
      <c r="B40" s="32"/>
      <c r="C40" s="40"/>
      <c r="D40" s="40"/>
      <c r="E40" s="45"/>
      <c r="F40" s="33"/>
      <c r="G40" s="33"/>
      <c r="H40" s="36">
        <f>_xlfn.XLOOKUP(F40,产品资料!L:L,产品资料!K:K)</f>
        <v>0</v>
      </c>
      <c r="I40" s="40"/>
      <c r="J40" s="40"/>
      <c r="K40" s="37">
        <f>_xlfn.XLOOKUP(L40,产品资料!D:D,产品资料!C:C)</f>
        <v>0</v>
      </c>
      <c r="L40" s="46"/>
      <c r="M40" s="33"/>
      <c r="N40" s="39"/>
      <c r="O40" s="40"/>
      <c r="P40" s="41">
        <f t="shared" si="2"/>
        <v>0</v>
      </c>
      <c r="Q40" s="40"/>
      <c r="R40" s="40"/>
      <c r="S40" s="40"/>
      <c r="T40" s="33"/>
      <c r="U40" s="45"/>
      <c r="V40" s="40"/>
      <c r="W40" s="40"/>
      <c r="X40" s="40"/>
      <c r="Y40" s="40"/>
    </row>
    <row r="41" s="8" customFormat="1" customHeight="1" spans="1:25">
      <c r="A41" s="31" t="str">
        <f t="shared" si="3"/>
        <v>-</v>
      </c>
      <c r="B41" s="32"/>
      <c r="C41" s="40"/>
      <c r="D41" s="40"/>
      <c r="E41" s="45"/>
      <c r="F41" s="33"/>
      <c r="G41" s="33"/>
      <c r="H41" s="36">
        <f>_xlfn.XLOOKUP(F41,产品资料!L:L,产品资料!K:K)</f>
        <v>0</v>
      </c>
      <c r="I41" s="40"/>
      <c r="J41" s="40"/>
      <c r="K41" s="37">
        <f>_xlfn.XLOOKUP(L41,产品资料!D:D,产品资料!C:C)</f>
        <v>0</v>
      </c>
      <c r="L41" s="46"/>
      <c r="M41" s="33"/>
      <c r="N41" s="39"/>
      <c r="O41" s="40"/>
      <c r="P41" s="41">
        <f t="shared" si="2"/>
        <v>0</v>
      </c>
      <c r="Q41" s="40"/>
      <c r="R41" s="40"/>
      <c r="S41" s="40"/>
      <c r="T41" s="33"/>
      <c r="U41" s="45"/>
      <c r="V41" s="40"/>
      <c r="W41" s="40"/>
      <c r="X41" s="40"/>
      <c r="Y41" s="40"/>
    </row>
    <row r="42" s="8" customFormat="1" customHeight="1" spans="1:25">
      <c r="A42" s="31" t="str">
        <f t="shared" si="3"/>
        <v>-</v>
      </c>
      <c r="B42" s="32"/>
      <c r="C42" s="40"/>
      <c r="D42" s="40"/>
      <c r="E42" s="45"/>
      <c r="F42" s="33"/>
      <c r="G42" s="33"/>
      <c r="H42" s="36">
        <f>_xlfn.XLOOKUP(F42,产品资料!L:L,产品资料!K:K)</f>
        <v>0</v>
      </c>
      <c r="I42" s="40"/>
      <c r="J42" s="40"/>
      <c r="K42" s="37">
        <f>_xlfn.XLOOKUP(L42,产品资料!D:D,产品资料!C:C)</f>
        <v>0</v>
      </c>
      <c r="L42" s="46"/>
      <c r="M42" s="33"/>
      <c r="N42" s="39"/>
      <c r="O42" s="40"/>
      <c r="P42" s="41">
        <f t="shared" si="2"/>
        <v>0</v>
      </c>
      <c r="Q42" s="40"/>
      <c r="R42" s="40"/>
      <c r="S42" s="40"/>
      <c r="T42" s="33"/>
      <c r="U42" s="45"/>
      <c r="V42" s="40"/>
      <c r="W42" s="40"/>
      <c r="X42" s="40"/>
      <c r="Y42" s="40"/>
    </row>
    <row r="43" s="8" customFormat="1" customHeight="1" spans="1:25">
      <c r="A43" s="31" t="str">
        <f t="shared" si="3"/>
        <v>-</v>
      </c>
      <c r="B43" s="32"/>
      <c r="C43" s="40"/>
      <c r="D43" s="40"/>
      <c r="E43" s="45"/>
      <c r="F43" s="33"/>
      <c r="G43" s="33"/>
      <c r="H43" s="36">
        <f>_xlfn.XLOOKUP(F43,产品资料!L:L,产品资料!K:K)</f>
        <v>0</v>
      </c>
      <c r="I43" s="40"/>
      <c r="J43" s="40"/>
      <c r="K43" s="37">
        <f>_xlfn.XLOOKUP(L43,产品资料!D:D,产品资料!C:C)</f>
        <v>0</v>
      </c>
      <c r="L43" s="46"/>
      <c r="M43" s="33"/>
      <c r="N43" s="39"/>
      <c r="O43" s="40"/>
      <c r="P43" s="41">
        <f t="shared" si="2"/>
        <v>0</v>
      </c>
      <c r="Q43" s="40"/>
      <c r="R43" s="40"/>
      <c r="S43" s="40"/>
      <c r="T43" s="33"/>
      <c r="U43" s="45"/>
      <c r="V43" s="40"/>
      <c r="W43" s="40"/>
      <c r="X43" s="40"/>
      <c r="Y43" s="40"/>
    </row>
    <row r="44" s="8" customFormat="1" customHeight="1" spans="1:25">
      <c r="A44" s="31" t="str">
        <f t="shared" si="3"/>
        <v>-</v>
      </c>
      <c r="B44" s="32"/>
      <c r="C44" s="40"/>
      <c r="D44" s="40"/>
      <c r="E44" s="45"/>
      <c r="F44" s="33"/>
      <c r="G44" s="33"/>
      <c r="H44" s="36">
        <f>_xlfn.XLOOKUP(F44,产品资料!L:L,产品资料!K:K)</f>
        <v>0</v>
      </c>
      <c r="I44" s="40"/>
      <c r="J44" s="40"/>
      <c r="K44" s="37">
        <f>_xlfn.XLOOKUP(L44,产品资料!D:D,产品资料!C:C)</f>
        <v>0</v>
      </c>
      <c r="L44" s="46"/>
      <c r="M44" s="33"/>
      <c r="N44" s="39"/>
      <c r="O44" s="40"/>
      <c r="P44" s="41">
        <f t="shared" si="2"/>
        <v>0</v>
      </c>
      <c r="Q44" s="40"/>
      <c r="R44" s="40"/>
      <c r="S44" s="40"/>
      <c r="T44" s="33"/>
      <c r="U44" s="45"/>
      <c r="V44" s="40"/>
      <c r="W44" s="40"/>
      <c r="X44" s="40"/>
      <c r="Y44" s="40"/>
    </row>
    <row r="45" s="8" customFormat="1" customHeight="1" spans="1:25">
      <c r="A45" s="31" t="str">
        <f t="shared" si="3"/>
        <v>-</v>
      </c>
      <c r="B45" s="32"/>
      <c r="C45" s="40"/>
      <c r="D45" s="40"/>
      <c r="E45" s="45"/>
      <c r="F45" s="33"/>
      <c r="G45" s="33"/>
      <c r="H45" s="36">
        <f>_xlfn.XLOOKUP(F45,产品资料!L:L,产品资料!K:K)</f>
        <v>0</v>
      </c>
      <c r="I45" s="40"/>
      <c r="J45" s="40"/>
      <c r="K45" s="37">
        <f>_xlfn.XLOOKUP(L45,产品资料!D:D,产品资料!C:C)</f>
        <v>0</v>
      </c>
      <c r="L45" s="46"/>
      <c r="M45" s="33"/>
      <c r="N45" s="39"/>
      <c r="O45" s="40"/>
      <c r="P45" s="41">
        <f t="shared" si="2"/>
        <v>0</v>
      </c>
      <c r="Q45" s="40"/>
      <c r="R45" s="40"/>
      <c r="S45" s="40"/>
      <c r="T45" s="33"/>
      <c r="U45" s="45"/>
      <c r="V45" s="40"/>
      <c r="W45" s="40"/>
      <c r="X45" s="40"/>
      <c r="Y45" s="40"/>
    </row>
    <row r="46" s="8" customFormat="1" customHeight="1" spans="1:25">
      <c r="A46" s="31" t="str">
        <f t="shared" si="3"/>
        <v>-</v>
      </c>
      <c r="B46" s="32"/>
      <c r="C46" s="40"/>
      <c r="D46" s="40"/>
      <c r="E46" s="45"/>
      <c r="F46" s="33"/>
      <c r="G46" s="33"/>
      <c r="H46" s="36">
        <f>_xlfn.XLOOKUP(F46,产品资料!L:L,产品资料!K:K)</f>
        <v>0</v>
      </c>
      <c r="I46" s="40"/>
      <c r="J46" s="40"/>
      <c r="K46" s="37">
        <f>_xlfn.XLOOKUP(L46,产品资料!D:D,产品资料!C:C)</f>
        <v>0</v>
      </c>
      <c r="L46" s="46"/>
      <c r="M46" s="33"/>
      <c r="N46" s="39"/>
      <c r="O46" s="40"/>
      <c r="P46" s="41">
        <f t="shared" si="2"/>
        <v>0</v>
      </c>
      <c r="Q46" s="40"/>
      <c r="R46" s="40"/>
      <c r="S46" s="40"/>
      <c r="T46" s="33"/>
      <c r="U46" s="45"/>
      <c r="V46" s="40"/>
      <c r="W46" s="40"/>
      <c r="X46" s="40"/>
      <c r="Y46" s="40"/>
    </row>
    <row r="47" s="8" customFormat="1" customHeight="1" spans="1:25">
      <c r="A47" s="31" t="str">
        <f t="shared" si="3"/>
        <v>-</v>
      </c>
      <c r="B47" s="32"/>
      <c r="C47" s="40"/>
      <c r="D47" s="40"/>
      <c r="E47" s="45"/>
      <c r="F47" s="33"/>
      <c r="G47" s="33"/>
      <c r="H47" s="36">
        <f>_xlfn.XLOOKUP(F47,产品资料!L:L,产品资料!K:K)</f>
        <v>0</v>
      </c>
      <c r="I47" s="40"/>
      <c r="J47" s="40"/>
      <c r="K47" s="37">
        <f>_xlfn.XLOOKUP(L47,产品资料!D:D,产品资料!C:C)</f>
        <v>0</v>
      </c>
      <c r="L47" s="46"/>
      <c r="M47" s="33"/>
      <c r="N47" s="39"/>
      <c r="O47" s="40"/>
      <c r="P47" s="41">
        <f t="shared" si="2"/>
        <v>0</v>
      </c>
      <c r="Q47" s="40"/>
      <c r="R47" s="40"/>
      <c r="S47" s="40"/>
      <c r="T47" s="33"/>
      <c r="U47" s="45"/>
      <c r="V47" s="40"/>
      <c r="W47" s="40"/>
      <c r="X47" s="40"/>
      <c r="Y47" s="40"/>
    </row>
    <row r="48" s="8" customFormat="1" customHeight="1" spans="1:25">
      <c r="A48" s="31" t="str">
        <f t="shared" si="3"/>
        <v>-</v>
      </c>
      <c r="B48" s="32"/>
      <c r="C48" s="40"/>
      <c r="D48" s="40"/>
      <c r="E48" s="45"/>
      <c r="F48" s="33"/>
      <c r="G48" s="33"/>
      <c r="H48" s="36">
        <f>_xlfn.XLOOKUP(F48,产品资料!L:L,产品资料!K:K)</f>
        <v>0</v>
      </c>
      <c r="I48" s="40"/>
      <c r="J48" s="40"/>
      <c r="K48" s="37">
        <f>_xlfn.XLOOKUP(L48,产品资料!D:D,产品资料!C:C)</f>
        <v>0</v>
      </c>
      <c r="L48" s="46"/>
      <c r="M48" s="33"/>
      <c r="N48" s="39"/>
      <c r="O48" s="40"/>
      <c r="P48" s="41">
        <f t="shared" si="2"/>
        <v>0</v>
      </c>
      <c r="Q48" s="40"/>
      <c r="R48" s="40"/>
      <c r="S48" s="40"/>
      <c r="T48" s="33"/>
      <c r="U48" s="45"/>
      <c r="V48" s="40"/>
      <c r="W48" s="40"/>
      <c r="X48" s="40"/>
      <c r="Y48" s="40"/>
    </row>
    <row r="49" s="8" customFormat="1" customHeight="1" spans="1:25">
      <c r="A49" s="31" t="str">
        <f t="shared" si="3"/>
        <v>-</v>
      </c>
      <c r="B49" s="32"/>
      <c r="C49" s="40"/>
      <c r="D49" s="40"/>
      <c r="E49" s="45"/>
      <c r="F49" s="33"/>
      <c r="G49" s="33"/>
      <c r="H49" s="36">
        <f>_xlfn.XLOOKUP(F49,产品资料!L:L,产品资料!K:K)</f>
        <v>0</v>
      </c>
      <c r="I49" s="40"/>
      <c r="J49" s="40"/>
      <c r="K49" s="37">
        <f>_xlfn.XLOOKUP(L49,产品资料!D:D,产品资料!C:C)</f>
        <v>0</v>
      </c>
      <c r="L49" s="46"/>
      <c r="M49" s="33"/>
      <c r="N49" s="39"/>
      <c r="O49" s="40"/>
      <c r="P49" s="41">
        <f t="shared" si="2"/>
        <v>0</v>
      </c>
      <c r="Q49" s="40"/>
      <c r="R49" s="40"/>
      <c r="S49" s="40"/>
      <c r="T49" s="33"/>
      <c r="U49" s="45"/>
      <c r="V49" s="40"/>
      <c r="W49" s="40"/>
      <c r="X49" s="40"/>
      <c r="Y49" s="40"/>
    </row>
    <row r="50" s="8" customFormat="1" customHeight="1" spans="1:25">
      <c r="A50" s="31" t="str">
        <f t="shared" si="3"/>
        <v>-</v>
      </c>
      <c r="B50" s="32"/>
      <c r="C50" s="40"/>
      <c r="D50" s="40"/>
      <c r="E50" s="45"/>
      <c r="F50" s="33"/>
      <c r="G50" s="33"/>
      <c r="H50" s="36">
        <f>_xlfn.XLOOKUP(F50,产品资料!L:L,产品资料!K:K)</f>
        <v>0</v>
      </c>
      <c r="I50" s="40"/>
      <c r="J50" s="40"/>
      <c r="K50" s="37">
        <f>_xlfn.XLOOKUP(L50,产品资料!D:D,产品资料!C:C)</f>
        <v>0</v>
      </c>
      <c r="L50" s="46"/>
      <c r="M50" s="33"/>
      <c r="N50" s="39"/>
      <c r="O50" s="40"/>
      <c r="P50" s="41">
        <f t="shared" si="2"/>
        <v>0</v>
      </c>
      <c r="Q50" s="40"/>
      <c r="R50" s="40"/>
      <c r="S50" s="40"/>
      <c r="T50" s="33"/>
      <c r="U50" s="45"/>
      <c r="V50" s="40"/>
      <c r="W50" s="40"/>
      <c r="X50" s="40"/>
      <c r="Y50" s="40"/>
    </row>
    <row r="51" s="8" customFormat="1" customHeight="1" spans="1:25">
      <c r="A51" s="31" t="str">
        <f t="shared" si="3"/>
        <v>-</v>
      </c>
      <c r="B51" s="32"/>
      <c r="C51" s="40"/>
      <c r="D51" s="40"/>
      <c r="E51" s="45"/>
      <c r="F51" s="33"/>
      <c r="G51" s="33"/>
      <c r="H51" s="36">
        <f>_xlfn.XLOOKUP(F51,产品资料!L:L,产品资料!K:K)</f>
        <v>0</v>
      </c>
      <c r="I51" s="40"/>
      <c r="J51" s="40"/>
      <c r="K51" s="37">
        <f>_xlfn.XLOOKUP(L51,产品资料!D:D,产品资料!C:C)</f>
        <v>0</v>
      </c>
      <c r="L51" s="46"/>
      <c r="M51" s="33"/>
      <c r="N51" s="39"/>
      <c r="O51" s="40"/>
      <c r="P51" s="41">
        <f t="shared" si="2"/>
        <v>0</v>
      </c>
      <c r="Q51" s="40"/>
      <c r="R51" s="40"/>
      <c r="S51" s="40"/>
      <c r="T51" s="33"/>
      <c r="U51" s="45"/>
      <c r="V51" s="40"/>
      <c r="W51" s="40"/>
      <c r="X51" s="40"/>
      <c r="Y51" s="40"/>
    </row>
    <row r="52" s="8" customFormat="1" customHeight="1" spans="1:25">
      <c r="A52" s="31" t="str">
        <f t="shared" si="3"/>
        <v>-</v>
      </c>
      <c r="B52" s="32"/>
      <c r="C52" s="40"/>
      <c r="D52" s="40"/>
      <c r="E52" s="45"/>
      <c r="F52" s="33"/>
      <c r="G52" s="33"/>
      <c r="H52" s="36">
        <f>_xlfn.XLOOKUP(F52,产品资料!L:L,产品资料!K:K)</f>
        <v>0</v>
      </c>
      <c r="I52" s="40"/>
      <c r="J52" s="40"/>
      <c r="K52" s="37">
        <f>_xlfn.XLOOKUP(L52,产品资料!D:D,产品资料!C:C)</f>
        <v>0</v>
      </c>
      <c r="L52" s="46"/>
      <c r="M52" s="33"/>
      <c r="N52" s="39"/>
      <c r="O52" s="40"/>
      <c r="P52" s="41">
        <f t="shared" si="2"/>
        <v>0</v>
      </c>
      <c r="Q52" s="40"/>
      <c r="R52" s="40"/>
      <c r="S52" s="40"/>
      <c r="T52" s="33"/>
      <c r="U52" s="45"/>
      <c r="V52" s="40"/>
      <c r="W52" s="40"/>
      <c r="X52" s="40"/>
      <c r="Y52" s="40"/>
    </row>
    <row r="53" s="8" customFormat="1" customHeight="1" spans="1:25">
      <c r="A53" s="31" t="str">
        <f t="shared" si="3"/>
        <v>-</v>
      </c>
      <c r="B53" s="32"/>
      <c r="C53" s="40"/>
      <c r="D53" s="40"/>
      <c r="E53" s="45"/>
      <c r="F53" s="33"/>
      <c r="G53" s="33"/>
      <c r="H53" s="36">
        <f>_xlfn.XLOOKUP(F53,产品资料!L:L,产品资料!K:K)</f>
        <v>0</v>
      </c>
      <c r="I53" s="40"/>
      <c r="J53" s="40"/>
      <c r="K53" s="37">
        <f>_xlfn.XLOOKUP(L53,产品资料!D:D,产品资料!C:C)</f>
        <v>0</v>
      </c>
      <c r="L53" s="46"/>
      <c r="M53" s="33"/>
      <c r="N53" s="39"/>
      <c r="O53" s="40"/>
      <c r="P53" s="41">
        <f t="shared" si="2"/>
        <v>0</v>
      </c>
      <c r="Q53" s="40"/>
      <c r="R53" s="40"/>
      <c r="S53" s="40"/>
      <c r="T53" s="33"/>
      <c r="U53" s="45"/>
      <c r="V53" s="40"/>
      <c r="W53" s="40"/>
      <c r="X53" s="40"/>
      <c r="Y53" s="40"/>
    </row>
    <row r="54" s="8" customFormat="1" customHeight="1" spans="1:25">
      <c r="A54" s="31" t="str">
        <f t="shared" si="3"/>
        <v>-</v>
      </c>
      <c r="B54" s="32"/>
      <c r="C54" s="40"/>
      <c r="D54" s="40"/>
      <c r="E54" s="45"/>
      <c r="F54" s="33"/>
      <c r="G54" s="33"/>
      <c r="H54" s="36">
        <f>_xlfn.XLOOKUP(F54,产品资料!L:L,产品资料!K:K)</f>
        <v>0</v>
      </c>
      <c r="I54" s="40"/>
      <c r="J54" s="40"/>
      <c r="K54" s="37">
        <f>_xlfn.XLOOKUP(L54,产品资料!D:D,产品资料!C:C)</f>
        <v>0</v>
      </c>
      <c r="L54" s="46"/>
      <c r="M54" s="33"/>
      <c r="N54" s="39"/>
      <c r="O54" s="40"/>
      <c r="P54" s="41">
        <f t="shared" si="2"/>
        <v>0</v>
      </c>
      <c r="Q54" s="40"/>
      <c r="R54" s="40"/>
      <c r="S54" s="40"/>
      <c r="T54" s="33"/>
      <c r="U54" s="45"/>
      <c r="V54" s="40"/>
      <c r="W54" s="40"/>
      <c r="X54" s="40"/>
      <c r="Y54" s="40"/>
    </row>
    <row r="55" s="8" customFormat="1" customHeight="1" spans="1:25">
      <c r="A55" s="31" t="str">
        <f t="shared" si="3"/>
        <v>-</v>
      </c>
      <c r="B55" s="32"/>
      <c r="C55" s="40"/>
      <c r="D55" s="40"/>
      <c r="E55" s="45"/>
      <c r="F55" s="33"/>
      <c r="G55" s="33"/>
      <c r="H55" s="36">
        <f>_xlfn.XLOOKUP(F55,产品资料!L:L,产品资料!K:K)</f>
        <v>0</v>
      </c>
      <c r="I55" s="40"/>
      <c r="J55" s="40"/>
      <c r="K55" s="37">
        <f>_xlfn.XLOOKUP(L55,产品资料!D:D,产品资料!C:C)</f>
        <v>0</v>
      </c>
      <c r="L55" s="46"/>
      <c r="M55" s="33"/>
      <c r="N55" s="39"/>
      <c r="O55" s="40"/>
      <c r="P55" s="41">
        <f t="shared" si="2"/>
        <v>0</v>
      </c>
      <c r="Q55" s="40"/>
      <c r="R55" s="40"/>
      <c r="S55" s="40"/>
      <c r="T55" s="33"/>
      <c r="U55" s="45"/>
      <c r="V55" s="40"/>
      <c r="W55" s="40"/>
      <c r="X55" s="40"/>
      <c r="Y55" s="40"/>
    </row>
    <row r="56" s="8" customFormat="1" customHeight="1" spans="1:25">
      <c r="A56" s="31" t="str">
        <f t="shared" si="3"/>
        <v>-</v>
      </c>
      <c r="B56" s="32"/>
      <c r="C56" s="40"/>
      <c r="D56" s="40"/>
      <c r="E56" s="45"/>
      <c r="F56" s="35"/>
      <c r="G56" s="35"/>
      <c r="H56" s="52">
        <f>_xlfn.XLOOKUP(F56,产品资料!L:L,产品资料!K:K)</f>
        <v>0</v>
      </c>
      <c r="I56" s="40"/>
      <c r="J56" s="40"/>
      <c r="K56" s="37">
        <f>_xlfn.XLOOKUP(L56,产品资料!D:D,产品资料!C:C)</f>
        <v>0</v>
      </c>
      <c r="L56" s="46"/>
      <c r="M56" s="33"/>
      <c r="N56" s="39"/>
      <c r="O56" s="40"/>
      <c r="P56" s="41">
        <f t="shared" si="2"/>
        <v>0</v>
      </c>
      <c r="Q56" s="40"/>
      <c r="R56" s="40"/>
      <c r="S56" s="40"/>
      <c r="T56" s="33"/>
      <c r="U56" s="45"/>
      <c r="V56" s="40"/>
      <c r="W56" s="40"/>
      <c r="X56" s="40"/>
      <c r="Y56" s="40"/>
    </row>
    <row r="57" customHeight="1" spans="1:25">
      <c r="A57" s="31" t="str">
        <f t="shared" si="3"/>
        <v>-</v>
      </c>
      <c r="B57" s="53"/>
      <c r="C57" s="54"/>
      <c r="D57" s="54"/>
      <c r="E57" s="55"/>
      <c r="F57" s="54"/>
      <c r="G57" s="54"/>
      <c r="H57" s="52">
        <f>_xlfn.XLOOKUP(F57,产品资料!L:L,产品资料!K:K)</f>
        <v>0</v>
      </c>
      <c r="I57" s="54"/>
      <c r="J57" s="54"/>
      <c r="K57" s="37">
        <f>_xlfn.XLOOKUP(L57,产品资料!D:D,产品资料!C:C)</f>
        <v>0</v>
      </c>
      <c r="L57" s="56"/>
      <c r="M57" s="56"/>
      <c r="N57" s="54"/>
      <c r="O57" s="47"/>
      <c r="P57" s="41">
        <f t="shared" si="2"/>
        <v>0</v>
      </c>
      <c r="Q57" s="54"/>
      <c r="R57" s="54"/>
      <c r="S57" s="54"/>
      <c r="T57" s="54"/>
      <c r="U57" s="57"/>
      <c r="V57" s="54"/>
      <c r="W57" s="54"/>
      <c r="X57" s="54"/>
      <c r="Y57" s="54"/>
    </row>
    <row r="58" customHeight="1" spans="1:25">
      <c r="A58" s="31" t="str">
        <f t="shared" si="3"/>
        <v>-</v>
      </c>
      <c r="B58" s="53"/>
      <c r="C58" s="54"/>
      <c r="D58" s="54"/>
      <c r="E58" s="55"/>
      <c r="F58" s="54"/>
      <c r="G58" s="54"/>
      <c r="H58" s="52">
        <f>_xlfn.XLOOKUP(F58,产品资料!L:L,产品资料!K:K)</f>
        <v>0</v>
      </c>
      <c r="I58" s="54"/>
      <c r="J58" s="54"/>
      <c r="K58" s="37">
        <f>_xlfn.XLOOKUP(L58,产品资料!D:D,产品资料!C:C)</f>
        <v>0</v>
      </c>
      <c r="L58" s="56"/>
      <c r="M58" s="56"/>
      <c r="N58" s="54"/>
      <c r="O58" s="47"/>
      <c r="P58" s="41">
        <f t="shared" si="2"/>
        <v>0</v>
      </c>
      <c r="Q58" s="54"/>
      <c r="R58" s="54"/>
      <c r="S58" s="54"/>
      <c r="T58" s="54"/>
      <c r="U58" s="57"/>
      <c r="V58" s="54"/>
      <c r="W58" s="54"/>
      <c r="X58" s="54"/>
      <c r="Y58" s="54"/>
    </row>
    <row r="59" customHeight="1" spans="1:25">
      <c r="A59" s="31" t="str">
        <f t="shared" si="3"/>
        <v>-</v>
      </c>
      <c r="B59" s="53"/>
      <c r="C59" s="54"/>
      <c r="D59" s="54"/>
      <c r="E59" s="55"/>
      <c r="F59" s="54"/>
      <c r="G59" s="54"/>
      <c r="H59" s="52">
        <f>_xlfn.XLOOKUP(F59,产品资料!L:L,产品资料!K:K)</f>
        <v>0</v>
      </c>
      <c r="I59" s="54"/>
      <c r="J59" s="54"/>
      <c r="K59" s="37">
        <f>_xlfn.XLOOKUP(L59,产品资料!D:D,产品资料!C:C)</f>
        <v>0</v>
      </c>
      <c r="L59" s="56"/>
      <c r="M59" s="56"/>
      <c r="N59" s="54"/>
      <c r="O59" s="47"/>
      <c r="P59" s="41">
        <f t="shared" si="2"/>
        <v>0</v>
      </c>
      <c r="Q59" s="54"/>
      <c r="R59" s="54"/>
      <c r="S59" s="54"/>
      <c r="T59" s="54"/>
      <c r="U59" s="57"/>
      <c r="V59" s="54"/>
      <c r="W59" s="54"/>
      <c r="X59" s="54"/>
      <c r="Y59" s="54"/>
    </row>
    <row r="60" customHeight="1" spans="1:25">
      <c r="A60" s="31" t="str">
        <f t="shared" si="3"/>
        <v>-</v>
      </c>
      <c r="B60" s="53"/>
      <c r="C60" s="54"/>
      <c r="D60" s="54"/>
      <c r="E60" s="55"/>
      <c r="F60" s="54"/>
      <c r="G60" s="54"/>
      <c r="H60" s="52">
        <f>_xlfn.XLOOKUP(F60,产品资料!L:L,产品资料!K:K)</f>
        <v>0</v>
      </c>
      <c r="I60" s="54"/>
      <c r="J60" s="54"/>
      <c r="K60" s="37">
        <f>_xlfn.XLOOKUP(L60,产品资料!D:D,产品资料!C:C)</f>
        <v>0</v>
      </c>
      <c r="L60" s="56"/>
      <c r="M60" s="56"/>
      <c r="N60" s="54"/>
      <c r="O60" s="47"/>
      <c r="P60" s="41">
        <f t="shared" si="2"/>
        <v>0</v>
      </c>
      <c r="Q60" s="54"/>
      <c r="R60" s="54"/>
      <c r="S60" s="54"/>
      <c r="T60" s="54"/>
      <c r="U60" s="57"/>
      <c r="V60" s="54"/>
      <c r="W60" s="54"/>
      <c r="X60" s="54"/>
      <c r="Y60" s="54"/>
    </row>
    <row r="61" customHeight="1" spans="1:25">
      <c r="A61" s="31" t="str">
        <f t="shared" si="3"/>
        <v>-</v>
      </c>
      <c r="B61" s="53"/>
      <c r="C61" s="54"/>
      <c r="D61" s="54"/>
      <c r="E61" s="55"/>
      <c r="F61" s="54"/>
      <c r="G61" s="54"/>
      <c r="H61" s="52">
        <f>_xlfn.XLOOKUP(F61,产品资料!L:L,产品资料!K:K)</f>
        <v>0</v>
      </c>
      <c r="I61" s="54"/>
      <c r="J61" s="54"/>
      <c r="K61" s="37">
        <f>_xlfn.XLOOKUP(L61,产品资料!D:D,产品资料!C:C)</f>
        <v>0</v>
      </c>
      <c r="L61" s="56"/>
      <c r="M61" s="56"/>
      <c r="N61" s="54"/>
      <c r="O61" s="47"/>
      <c r="P61" s="41">
        <f t="shared" ref="P61:P92" si="4">N61*O61</f>
        <v>0</v>
      </c>
      <c r="Q61" s="54"/>
      <c r="R61" s="54"/>
      <c r="S61" s="54"/>
      <c r="T61" s="54"/>
      <c r="U61" s="57"/>
      <c r="V61" s="54"/>
      <c r="W61" s="54"/>
      <c r="X61" s="54"/>
      <c r="Y61" s="54"/>
    </row>
    <row r="62" customHeight="1" spans="1:25">
      <c r="A62" s="31" t="str">
        <f t="shared" si="3"/>
        <v>-</v>
      </c>
      <c r="B62" s="53"/>
      <c r="C62" s="54"/>
      <c r="D62" s="54"/>
      <c r="E62" s="55"/>
      <c r="F62" s="54"/>
      <c r="G62" s="54"/>
      <c r="H62" s="52">
        <f>_xlfn.XLOOKUP(F62,产品资料!L:L,产品资料!K:K)</f>
        <v>0</v>
      </c>
      <c r="I62" s="54"/>
      <c r="J62" s="54"/>
      <c r="K62" s="37">
        <f>_xlfn.XLOOKUP(L62,产品资料!D:D,产品资料!C:C)</f>
        <v>0</v>
      </c>
      <c r="L62" s="56"/>
      <c r="M62" s="56"/>
      <c r="N62" s="54"/>
      <c r="O62" s="47"/>
      <c r="P62" s="41">
        <f t="shared" si="4"/>
        <v>0</v>
      </c>
      <c r="Q62" s="54"/>
      <c r="R62" s="54"/>
      <c r="S62" s="54"/>
      <c r="T62" s="54"/>
      <c r="U62" s="57"/>
      <c r="V62" s="54"/>
      <c r="W62" s="54"/>
      <c r="X62" s="54"/>
      <c r="Y62" s="54"/>
    </row>
    <row r="63" customHeight="1" spans="1:25">
      <c r="A63" s="31" t="str">
        <f t="shared" si="3"/>
        <v>-</v>
      </c>
      <c r="B63" s="53"/>
      <c r="C63" s="54"/>
      <c r="D63" s="54"/>
      <c r="E63" s="55"/>
      <c r="F63" s="54"/>
      <c r="G63" s="54"/>
      <c r="H63" s="52">
        <f>_xlfn.XLOOKUP(F63,产品资料!L:L,产品资料!K:K)</f>
        <v>0</v>
      </c>
      <c r="I63" s="54"/>
      <c r="J63" s="54"/>
      <c r="K63" s="37">
        <f>_xlfn.XLOOKUP(L63,产品资料!D:D,产品资料!C:C)</f>
        <v>0</v>
      </c>
      <c r="L63" s="56"/>
      <c r="M63" s="56"/>
      <c r="N63" s="54"/>
      <c r="O63" s="47"/>
      <c r="P63" s="41">
        <f t="shared" si="4"/>
        <v>0</v>
      </c>
      <c r="Q63" s="54"/>
      <c r="R63" s="54"/>
      <c r="S63" s="54"/>
      <c r="T63" s="54"/>
      <c r="U63" s="57"/>
      <c r="V63" s="54"/>
      <c r="W63" s="54"/>
      <c r="X63" s="54"/>
      <c r="Y63" s="54"/>
    </row>
    <row r="64" customHeight="1" spans="1:25">
      <c r="A64" s="31" t="str">
        <f t="shared" si="3"/>
        <v>-</v>
      </c>
      <c r="B64" s="53"/>
      <c r="C64" s="54"/>
      <c r="D64" s="54"/>
      <c r="E64" s="55"/>
      <c r="F64" s="54"/>
      <c r="G64" s="54"/>
      <c r="H64" s="52">
        <f>_xlfn.XLOOKUP(F64,产品资料!L:L,产品资料!K:K)</f>
        <v>0</v>
      </c>
      <c r="I64" s="54"/>
      <c r="J64" s="54"/>
      <c r="K64" s="37">
        <f>_xlfn.XLOOKUP(L64,产品资料!D:D,产品资料!C:C)</f>
        <v>0</v>
      </c>
      <c r="L64" s="56"/>
      <c r="M64" s="56"/>
      <c r="N64" s="54"/>
      <c r="O64" s="47"/>
      <c r="P64" s="41">
        <f t="shared" si="4"/>
        <v>0</v>
      </c>
      <c r="Q64" s="54"/>
      <c r="R64" s="54"/>
      <c r="S64" s="54"/>
      <c r="T64" s="54"/>
      <c r="U64" s="57"/>
      <c r="V64" s="54"/>
      <c r="W64" s="54"/>
      <c r="X64" s="54"/>
      <c r="Y64" s="54"/>
    </row>
    <row r="65" customHeight="1" spans="1:25">
      <c r="A65" s="31" t="str">
        <f t="shared" si="3"/>
        <v>-</v>
      </c>
      <c r="B65" s="53"/>
      <c r="C65" s="54"/>
      <c r="D65" s="54"/>
      <c r="E65" s="55"/>
      <c r="F65" s="54"/>
      <c r="G65" s="54"/>
      <c r="H65" s="52">
        <f>_xlfn.XLOOKUP(F65,产品资料!L:L,产品资料!K:K)</f>
        <v>0</v>
      </c>
      <c r="I65" s="54"/>
      <c r="J65" s="54"/>
      <c r="K65" s="37">
        <f>_xlfn.XLOOKUP(L65,产品资料!D:D,产品资料!C:C)</f>
        <v>0</v>
      </c>
      <c r="L65" s="56"/>
      <c r="M65" s="56"/>
      <c r="N65" s="54"/>
      <c r="O65" s="47"/>
      <c r="P65" s="41">
        <f t="shared" si="4"/>
        <v>0</v>
      </c>
      <c r="Q65" s="54"/>
      <c r="R65" s="54"/>
      <c r="S65" s="54"/>
      <c r="T65" s="54"/>
      <c r="U65" s="57"/>
      <c r="V65" s="54"/>
      <c r="W65" s="54"/>
      <c r="X65" s="54"/>
      <c r="Y65" s="54"/>
    </row>
    <row r="66" customHeight="1" spans="1:25">
      <c r="A66" s="31" t="str">
        <f t="shared" si="3"/>
        <v>-</v>
      </c>
      <c r="B66" s="53"/>
      <c r="C66" s="54"/>
      <c r="D66" s="54"/>
      <c r="E66" s="55"/>
      <c r="F66" s="54"/>
      <c r="G66" s="54"/>
      <c r="H66" s="52">
        <f>_xlfn.XLOOKUP(F66,产品资料!L:L,产品资料!K:K)</f>
        <v>0</v>
      </c>
      <c r="I66" s="54"/>
      <c r="J66" s="54"/>
      <c r="K66" s="37">
        <f>_xlfn.XLOOKUP(L66,产品资料!D:D,产品资料!C:C)</f>
        <v>0</v>
      </c>
      <c r="L66" s="56"/>
      <c r="M66" s="56"/>
      <c r="N66" s="54"/>
      <c r="O66" s="47"/>
      <c r="P66" s="41">
        <f t="shared" si="4"/>
        <v>0</v>
      </c>
      <c r="Q66" s="54"/>
      <c r="R66" s="54"/>
      <c r="S66" s="54"/>
      <c r="T66" s="54"/>
      <c r="U66" s="57"/>
      <c r="V66" s="54"/>
      <c r="W66" s="54"/>
      <c r="X66" s="54"/>
      <c r="Y66" s="54"/>
    </row>
    <row r="67" customHeight="1" spans="1:25">
      <c r="A67" s="31" t="str">
        <f t="shared" ref="A67:A98" si="5">IF(B67="","-",ROW(A66))</f>
        <v>-</v>
      </c>
      <c r="B67" s="53"/>
      <c r="C67" s="54"/>
      <c r="D67" s="54"/>
      <c r="E67" s="55"/>
      <c r="F67" s="54"/>
      <c r="G67" s="54"/>
      <c r="H67" s="52">
        <f>_xlfn.XLOOKUP(F67,产品资料!L:L,产品资料!K:K)</f>
        <v>0</v>
      </c>
      <c r="I67" s="54"/>
      <c r="J67" s="54"/>
      <c r="K67" s="37">
        <f>_xlfn.XLOOKUP(L67,产品资料!D:D,产品资料!C:C)</f>
        <v>0</v>
      </c>
      <c r="L67" s="56"/>
      <c r="M67" s="56"/>
      <c r="N67" s="54"/>
      <c r="O67" s="47"/>
      <c r="P67" s="41">
        <f t="shared" si="4"/>
        <v>0</v>
      </c>
      <c r="Q67" s="54"/>
      <c r="R67" s="54"/>
      <c r="S67" s="54"/>
      <c r="T67" s="54"/>
      <c r="U67" s="57"/>
      <c r="V67" s="54"/>
      <c r="W67" s="54"/>
      <c r="X67" s="54"/>
      <c r="Y67" s="54"/>
    </row>
    <row r="68" customHeight="1" spans="1:25">
      <c r="A68" s="31" t="str">
        <f t="shared" si="5"/>
        <v>-</v>
      </c>
      <c r="B68" s="53"/>
      <c r="C68" s="54"/>
      <c r="D68" s="54"/>
      <c r="E68" s="55"/>
      <c r="F68" s="54"/>
      <c r="G68" s="54"/>
      <c r="H68" s="52">
        <f>_xlfn.XLOOKUP(F68,产品资料!L:L,产品资料!K:K)</f>
        <v>0</v>
      </c>
      <c r="I68" s="54"/>
      <c r="J68" s="54"/>
      <c r="K68" s="37">
        <f>_xlfn.XLOOKUP(L68,产品资料!D:D,产品资料!C:C)</f>
        <v>0</v>
      </c>
      <c r="L68" s="56"/>
      <c r="M68" s="56"/>
      <c r="N68" s="54"/>
      <c r="O68" s="47"/>
      <c r="P68" s="41">
        <f t="shared" si="4"/>
        <v>0</v>
      </c>
      <c r="Q68" s="54"/>
      <c r="R68" s="54"/>
      <c r="S68" s="54"/>
      <c r="T68" s="54"/>
      <c r="U68" s="57"/>
      <c r="V68" s="54"/>
      <c r="W68" s="54"/>
      <c r="X68" s="54"/>
      <c r="Y68" s="54"/>
    </row>
    <row r="69" customHeight="1" spans="1:25">
      <c r="A69" s="31" t="str">
        <f t="shared" si="5"/>
        <v>-</v>
      </c>
      <c r="B69" s="53"/>
      <c r="C69" s="54"/>
      <c r="D69" s="54"/>
      <c r="E69" s="55"/>
      <c r="F69" s="54"/>
      <c r="G69" s="54"/>
      <c r="H69" s="52">
        <f>_xlfn.XLOOKUP(F69,产品资料!L:L,产品资料!K:K)</f>
        <v>0</v>
      </c>
      <c r="I69" s="54"/>
      <c r="J69" s="54"/>
      <c r="K69" s="37">
        <f>_xlfn.XLOOKUP(L69,产品资料!D:D,产品资料!C:C)</f>
        <v>0</v>
      </c>
      <c r="L69" s="56"/>
      <c r="M69" s="56"/>
      <c r="N69" s="54"/>
      <c r="O69" s="47"/>
      <c r="P69" s="41">
        <f t="shared" si="4"/>
        <v>0</v>
      </c>
      <c r="Q69" s="54"/>
      <c r="R69" s="54"/>
      <c r="S69" s="54"/>
      <c r="T69" s="54"/>
      <c r="U69" s="57"/>
      <c r="V69" s="54"/>
      <c r="W69" s="54"/>
      <c r="X69" s="54"/>
      <c r="Y69" s="54"/>
    </row>
    <row r="70" customHeight="1" spans="1:25">
      <c r="A70" s="31" t="str">
        <f t="shared" si="5"/>
        <v>-</v>
      </c>
      <c r="B70" s="53"/>
      <c r="C70" s="54"/>
      <c r="D70" s="54"/>
      <c r="E70" s="55"/>
      <c r="F70" s="54"/>
      <c r="G70" s="54"/>
      <c r="H70" s="52">
        <f>_xlfn.XLOOKUP(F70,产品资料!L:L,产品资料!K:K)</f>
        <v>0</v>
      </c>
      <c r="I70" s="54"/>
      <c r="J70" s="54"/>
      <c r="K70" s="37">
        <f>_xlfn.XLOOKUP(L70,产品资料!D:D,产品资料!C:C)</f>
        <v>0</v>
      </c>
      <c r="L70" s="56"/>
      <c r="M70" s="56"/>
      <c r="N70" s="54"/>
      <c r="O70" s="47"/>
      <c r="P70" s="41">
        <f t="shared" si="4"/>
        <v>0</v>
      </c>
      <c r="Q70" s="54"/>
      <c r="R70" s="54"/>
      <c r="S70" s="54"/>
      <c r="T70" s="54"/>
      <c r="U70" s="57"/>
      <c r="V70" s="54"/>
      <c r="W70" s="54"/>
      <c r="X70" s="54"/>
      <c r="Y70" s="54"/>
    </row>
    <row r="71" customHeight="1" spans="1:25">
      <c r="A71" s="31" t="str">
        <f t="shared" si="5"/>
        <v>-</v>
      </c>
      <c r="B71" s="53"/>
      <c r="C71" s="54"/>
      <c r="D71" s="54"/>
      <c r="E71" s="55"/>
      <c r="F71" s="54"/>
      <c r="G71" s="54"/>
      <c r="H71" s="52">
        <f>_xlfn.XLOOKUP(F71,产品资料!L:L,产品资料!K:K)</f>
        <v>0</v>
      </c>
      <c r="I71" s="54"/>
      <c r="J71" s="54"/>
      <c r="K71" s="37">
        <f>_xlfn.XLOOKUP(L71,产品资料!D:D,产品资料!C:C)</f>
        <v>0</v>
      </c>
      <c r="L71" s="56"/>
      <c r="M71" s="56"/>
      <c r="N71" s="54"/>
      <c r="O71" s="47"/>
      <c r="P71" s="41">
        <f t="shared" si="4"/>
        <v>0</v>
      </c>
      <c r="Q71" s="54"/>
      <c r="R71" s="54"/>
      <c r="S71" s="54"/>
      <c r="T71" s="54"/>
      <c r="U71" s="57"/>
      <c r="V71" s="54"/>
      <c r="W71" s="54"/>
      <c r="X71" s="54"/>
      <c r="Y71" s="54"/>
    </row>
    <row r="72" customHeight="1" spans="1:25">
      <c r="A72" s="31" t="str">
        <f t="shared" si="5"/>
        <v>-</v>
      </c>
      <c r="B72" s="53"/>
      <c r="C72" s="54"/>
      <c r="D72" s="54"/>
      <c r="E72" s="55"/>
      <c r="F72" s="54"/>
      <c r="G72" s="54"/>
      <c r="H72" s="52">
        <f>_xlfn.XLOOKUP(F72,产品资料!L:L,产品资料!K:K)</f>
        <v>0</v>
      </c>
      <c r="I72" s="54"/>
      <c r="J72" s="54"/>
      <c r="K72" s="37">
        <f>_xlfn.XLOOKUP(L72,产品资料!D:D,产品资料!C:C)</f>
        <v>0</v>
      </c>
      <c r="L72" s="56"/>
      <c r="M72" s="56"/>
      <c r="N72" s="54"/>
      <c r="O72" s="47"/>
      <c r="P72" s="41">
        <f t="shared" si="4"/>
        <v>0</v>
      </c>
      <c r="Q72" s="54"/>
      <c r="R72" s="54"/>
      <c r="S72" s="54"/>
      <c r="T72" s="54"/>
      <c r="U72" s="57"/>
      <c r="V72" s="54"/>
      <c r="W72" s="54"/>
      <c r="X72" s="54"/>
      <c r="Y72" s="54"/>
    </row>
    <row r="73" customHeight="1" spans="1:25">
      <c r="A73" s="31" t="str">
        <f t="shared" si="5"/>
        <v>-</v>
      </c>
      <c r="B73" s="53"/>
      <c r="C73" s="54"/>
      <c r="D73" s="54"/>
      <c r="E73" s="55"/>
      <c r="F73" s="54"/>
      <c r="G73" s="54"/>
      <c r="H73" s="52">
        <f>_xlfn.XLOOKUP(F73,产品资料!L:L,产品资料!K:K)</f>
        <v>0</v>
      </c>
      <c r="I73" s="54"/>
      <c r="J73" s="54"/>
      <c r="K73" s="37">
        <f>_xlfn.XLOOKUP(L73,产品资料!D:D,产品资料!C:C)</f>
        <v>0</v>
      </c>
      <c r="L73" s="56"/>
      <c r="M73" s="56"/>
      <c r="N73" s="54"/>
      <c r="O73" s="47"/>
      <c r="P73" s="41">
        <f t="shared" si="4"/>
        <v>0</v>
      </c>
      <c r="Q73" s="54"/>
      <c r="R73" s="54"/>
      <c r="S73" s="54"/>
      <c r="T73" s="54"/>
      <c r="U73" s="57"/>
      <c r="V73" s="54"/>
      <c r="W73" s="54"/>
      <c r="X73" s="54"/>
      <c r="Y73" s="54"/>
    </row>
    <row r="74" customHeight="1" spans="1:25">
      <c r="A74" s="31" t="str">
        <f t="shared" si="5"/>
        <v>-</v>
      </c>
      <c r="B74" s="53"/>
      <c r="C74" s="54"/>
      <c r="D74" s="54"/>
      <c r="E74" s="55"/>
      <c r="F74" s="54"/>
      <c r="G74" s="54"/>
      <c r="H74" s="52">
        <f>_xlfn.XLOOKUP(F74,产品资料!L:L,产品资料!K:K)</f>
        <v>0</v>
      </c>
      <c r="I74" s="54"/>
      <c r="J74" s="54"/>
      <c r="K74" s="37">
        <f>_xlfn.XLOOKUP(L74,产品资料!D:D,产品资料!C:C)</f>
        <v>0</v>
      </c>
      <c r="L74" s="56"/>
      <c r="M74" s="56"/>
      <c r="N74" s="54"/>
      <c r="O74" s="47"/>
      <c r="P74" s="41">
        <f t="shared" si="4"/>
        <v>0</v>
      </c>
      <c r="Q74" s="54"/>
      <c r="R74" s="54"/>
      <c r="S74" s="54"/>
      <c r="T74" s="54"/>
      <c r="U74" s="57"/>
      <c r="V74" s="54"/>
      <c r="W74" s="54"/>
      <c r="X74" s="54"/>
      <c r="Y74" s="54"/>
    </row>
    <row r="75" customHeight="1" spans="1:25">
      <c r="A75" s="31" t="str">
        <f t="shared" si="5"/>
        <v>-</v>
      </c>
      <c r="B75" s="53"/>
      <c r="C75" s="54"/>
      <c r="D75" s="54"/>
      <c r="E75" s="55"/>
      <c r="F75" s="54"/>
      <c r="G75" s="54"/>
      <c r="H75" s="52">
        <f>_xlfn.XLOOKUP(F75,产品资料!L:L,产品资料!K:K)</f>
        <v>0</v>
      </c>
      <c r="I75" s="54"/>
      <c r="J75" s="54"/>
      <c r="K75" s="37">
        <f>_xlfn.XLOOKUP(L75,产品资料!D:D,产品资料!C:C)</f>
        <v>0</v>
      </c>
      <c r="L75" s="56"/>
      <c r="M75" s="56"/>
      <c r="N75" s="54"/>
      <c r="O75" s="47"/>
      <c r="P75" s="41">
        <f t="shared" si="4"/>
        <v>0</v>
      </c>
      <c r="Q75" s="54"/>
      <c r="R75" s="54"/>
      <c r="S75" s="54"/>
      <c r="T75" s="54"/>
      <c r="U75" s="57"/>
      <c r="V75" s="54"/>
      <c r="W75" s="54"/>
      <c r="X75" s="54"/>
      <c r="Y75" s="54"/>
    </row>
    <row r="76" customHeight="1" spans="1:25">
      <c r="A76" s="31" t="str">
        <f t="shared" si="5"/>
        <v>-</v>
      </c>
      <c r="B76" s="53"/>
      <c r="C76" s="54"/>
      <c r="D76" s="54"/>
      <c r="E76" s="55"/>
      <c r="F76" s="54"/>
      <c r="G76" s="54"/>
      <c r="H76" s="52">
        <f>_xlfn.XLOOKUP(F76,产品资料!L:L,产品资料!K:K)</f>
        <v>0</v>
      </c>
      <c r="I76" s="54"/>
      <c r="J76" s="54"/>
      <c r="K76" s="37">
        <f>_xlfn.XLOOKUP(L76,产品资料!D:D,产品资料!C:C)</f>
        <v>0</v>
      </c>
      <c r="L76" s="56"/>
      <c r="M76" s="56"/>
      <c r="N76" s="54"/>
      <c r="O76" s="47"/>
      <c r="P76" s="41">
        <f t="shared" si="4"/>
        <v>0</v>
      </c>
      <c r="Q76" s="54"/>
      <c r="R76" s="54"/>
      <c r="S76" s="54"/>
      <c r="T76" s="54"/>
      <c r="U76" s="57"/>
      <c r="V76" s="54"/>
      <c r="W76" s="54"/>
      <c r="X76" s="54"/>
      <c r="Y76" s="54"/>
    </row>
    <row r="77" customHeight="1" spans="1:25">
      <c r="A77" s="31" t="str">
        <f t="shared" si="5"/>
        <v>-</v>
      </c>
      <c r="B77" s="53"/>
      <c r="C77" s="54"/>
      <c r="D77" s="54"/>
      <c r="E77" s="55"/>
      <c r="F77" s="54"/>
      <c r="G77" s="54"/>
      <c r="H77" s="52">
        <f>_xlfn.XLOOKUP(F77,产品资料!L:L,产品资料!K:K)</f>
        <v>0</v>
      </c>
      <c r="I77" s="54"/>
      <c r="J77" s="54"/>
      <c r="K77" s="37">
        <f>_xlfn.XLOOKUP(L77,产品资料!D:D,产品资料!C:C)</f>
        <v>0</v>
      </c>
      <c r="L77" s="56"/>
      <c r="M77" s="56"/>
      <c r="N77" s="54"/>
      <c r="O77" s="47"/>
      <c r="P77" s="41">
        <f t="shared" si="4"/>
        <v>0</v>
      </c>
      <c r="Q77" s="54"/>
      <c r="R77" s="54"/>
      <c r="S77" s="54"/>
      <c r="T77" s="54"/>
      <c r="U77" s="57"/>
      <c r="V77" s="54"/>
      <c r="W77" s="54"/>
      <c r="X77" s="54"/>
      <c r="Y77" s="54"/>
    </row>
    <row r="78" customHeight="1" spans="1:25">
      <c r="A78" s="31" t="str">
        <f t="shared" si="5"/>
        <v>-</v>
      </c>
      <c r="B78" s="53"/>
      <c r="C78" s="54"/>
      <c r="D78" s="54"/>
      <c r="E78" s="55"/>
      <c r="F78" s="54"/>
      <c r="G78" s="54"/>
      <c r="H78" s="52">
        <f>_xlfn.XLOOKUP(F78,产品资料!L:L,产品资料!K:K)</f>
        <v>0</v>
      </c>
      <c r="I78" s="54"/>
      <c r="J78" s="54"/>
      <c r="K78" s="37">
        <f>_xlfn.XLOOKUP(L78,产品资料!D:D,产品资料!C:C)</f>
        <v>0</v>
      </c>
      <c r="L78" s="56"/>
      <c r="M78" s="56"/>
      <c r="N78" s="54"/>
      <c r="O78" s="47"/>
      <c r="P78" s="41">
        <f t="shared" si="4"/>
        <v>0</v>
      </c>
      <c r="Q78" s="54"/>
      <c r="R78" s="54"/>
      <c r="S78" s="54"/>
      <c r="T78" s="54"/>
      <c r="U78" s="57"/>
      <c r="V78" s="54"/>
      <c r="W78" s="54"/>
      <c r="X78" s="54"/>
      <c r="Y78" s="54"/>
    </row>
    <row r="79" customHeight="1" spans="1:25">
      <c r="A79" s="31" t="str">
        <f t="shared" si="5"/>
        <v>-</v>
      </c>
      <c r="B79" s="53"/>
      <c r="C79" s="54"/>
      <c r="D79" s="54"/>
      <c r="E79" s="55"/>
      <c r="F79" s="54"/>
      <c r="G79" s="54"/>
      <c r="H79" s="52">
        <f>_xlfn.XLOOKUP(F79,产品资料!L:L,产品资料!K:K)</f>
        <v>0</v>
      </c>
      <c r="I79" s="54"/>
      <c r="J79" s="54"/>
      <c r="K79" s="37">
        <f>_xlfn.XLOOKUP(L79,产品资料!D:D,产品资料!C:C)</f>
        <v>0</v>
      </c>
      <c r="L79" s="56"/>
      <c r="M79" s="56"/>
      <c r="N79" s="54"/>
      <c r="O79" s="47"/>
      <c r="P79" s="41">
        <f t="shared" si="4"/>
        <v>0</v>
      </c>
      <c r="Q79" s="54"/>
      <c r="R79" s="54"/>
      <c r="S79" s="54"/>
      <c r="T79" s="54"/>
      <c r="U79" s="57"/>
      <c r="V79" s="54"/>
      <c r="W79" s="54"/>
      <c r="X79" s="54"/>
      <c r="Y79" s="54"/>
    </row>
    <row r="80" customHeight="1" spans="1:25">
      <c r="A80" s="31" t="str">
        <f t="shared" si="5"/>
        <v>-</v>
      </c>
      <c r="B80" s="53"/>
      <c r="C80" s="54"/>
      <c r="D80" s="54"/>
      <c r="E80" s="55"/>
      <c r="F80" s="54"/>
      <c r="G80" s="54"/>
      <c r="H80" s="52">
        <f>_xlfn.XLOOKUP(F80,产品资料!L:L,产品资料!K:K)</f>
        <v>0</v>
      </c>
      <c r="I80" s="54"/>
      <c r="J80" s="54"/>
      <c r="K80" s="37">
        <f>_xlfn.XLOOKUP(L80,产品资料!D:D,产品资料!C:C)</f>
        <v>0</v>
      </c>
      <c r="L80" s="56"/>
      <c r="M80" s="56"/>
      <c r="N80" s="54"/>
      <c r="O80" s="47"/>
      <c r="P80" s="41">
        <f t="shared" si="4"/>
        <v>0</v>
      </c>
      <c r="Q80" s="54"/>
      <c r="R80" s="54"/>
      <c r="S80" s="54"/>
      <c r="T80" s="54"/>
      <c r="U80" s="57"/>
      <c r="V80" s="54"/>
      <c r="W80" s="54"/>
      <c r="X80" s="54"/>
      <c r="Y80" s="54"/>
    </row>
    <row r="81" customHeight="1" spans="1:25">
      <c r="A81" s="31" t="str">
        <f t="shared" si="5"/>
        <v>-</v>
      </c>
      <c r="B81" s="53"/>
      <c r="C81" s="54"/>
      <c r="D81" s="54"/>
      <c r="E81" s="55"/>
      <c r="F81" s="54"/>
      <c r="G81" s="54"/>
      <c r="H81" s="52">
        <f>_xlfn.XLOOKUP(F81,产品资料!L:L,产品资料!K:K)</f>
        <v>0</v>
      </c>
      <c r="I81" s="54"/>
      <c r="J81" s="54"/>
      <c r="K81" s="37">
        <f>_xlfn.XLOOKUP(L81,产品资料!D:D,产品资料!C:C)</f>
        <v>0</v>
      </c>
      <c r="L81" s="56"/>
      <c r="M81" s="56"/>
      <c r="N81" s="54"/>
      <c r="O81" s="47"/>
      <c r="P81" s="41">
        <f t="shared" si="4"/>
        <v>0</v>
      </c>
      <c r="Q81" s="54"/>
      <c r="R81" s="54"/>
      <c r="S81" s="54"/>
      <c r="T81" s="54"/>
      <c r="U81" s="57"/>
      <c r="V81" s="54"/>
      <c r="W81" s="54"/>
      <c r="X81" s="54"/>
      <c r="Y81" s="54"/>
    </row>
    <row r="82" customHeight="1" spans="1:25">
      <c r="A82" s="31" t="str">
        <f t="shared" si="5"/>
        <v>-</v>
      </c>
      <c r="B82" s="53"/>
      <c r="C82" s="54"/>
      <c r="D82" s="54"/>
      <c r="E82" s="55"/>
      <c r="F82" s="54"/>
      <c r="G82" s="54"/>
      <c r="H82" s="52">
        <f>_xlfn.XLOOKUP(F82,产品资料!L:L,产品资料!K:K)</f>
        <v>0</v>
      </c>
      <c r="I82" s="54"/>
      <c r="J82" s="54"/>
      <c r="K82" s="37">
        <f>_xlfn.XLOOKUP(L82,产品资料!D:D,产品资料!C:C)</f>
        <v>0</v>
      </c>
      <c r="L82" s="56"/>
      <c r="M82" s="56"/>
      <c r="N82" s="54"/>
      <c r="O82" s="47"/>
      <c r="P82" s="41">
        <f t="shared" si="4"/>
        <v>0</v>
      </c>
      <c r="Q82" s="54"/>
      <c r="R82" s="54"/>
      <c r="S82" s="54"/>
      <c r="T82" s="54"/>
      <c r="U82" s="57"/>
      <c r="V82" s="54"/>
      <c r="W82" s="54"/>
      <c r="X82" s="54"/>
      <c r="Y82" s="54"/>
    </row>
    <row r="83" customHeight="1" spans="1:25">
      <c r="A83" s="31" t="str">
        <f t="shared" si="5"/>
        <v>-</v>
      </c>
      <c r="B83" s="53"/>
      <c r="C83" s="54"/>
      <c r="D83" s="54"/>
      <c r="E83" s="55"/>
      <c r="F83" s="54"/>
      <c r="G83" s="54"/>
      <c r="H83" s="52">
        <f>_xlfn.XLOOKUP(F83,产品资料!L:L,产品资料!K:K)</f>
        <v>0</v>
      </c>
      <c r="I83" s="54"/>
      <c r="J83" s="54"/>
      <c r="K83" s="37">
        <f>_xlfn.XLOOKUP(L83,产品资料!D:D,产品资料!C:C)</f>
        <v>0</v>
      </c>
      <c r="L83" s="56"/>
      <c r="M83" s="56"/>
      <c r="N83" s="54"/>
      <c r="O83" s="47"/>
      <c r="P83" s="41">
        <f t="shared" si="4"/>
        <v>0</v>
      </c>
      <c r="Q83" s="54"/>
      <c r="R83" s="54"/>
      <c r="S83" s="54"/>
      <c r="T83" s="54"/>
      <c r="U83" s="57"/>
      <c r="V83" s="54"/>
      <c r="W83" s="54"/>
      <c r="X83" s="54"/>
      <c r="Y83" s="54"/>
    </row>
    <row r="84" customHeight="1" spans="1:25">
      <c r="A84" s="31" t="str">
        <f t="shared" si="5"/>
        <v>-</v>
      </c>
      <c r="B84" s="53"/>
      <c r="C84" s="54"/>
      <c r="D84" s="54"/>
      <c r="E84" s="55"/>
      <c r="F84" s="54"/>
      <c r="G84" s="54"/>
      <c r="H84" s="52">
        <f>_xlfn.XLOOKUP(F84,产品资料!L:L,产品资料!K:K)</f>
        <v>0</v>
      </c>
      <c r="I84" s="54"/>
      <c r="J84" s="54"/>
      <c r="K84" s="37">
        <f>_xlfn.XLOOKUP(L84,产品资料!D:D,产品资料!C:C)</f>
        <v>0</v>
      </c>
      <c r="L84" s="56"/>
      <c r="M84" s="56"/>
      <c r="N84" s="54"/>
      <c r="O84" s="47"/>
      <c r="P84" s="41">
        <f t="shared" si="4"/>
        <v>0</v>
      </c>
      <c r="Q84" s="54"/>
      <c r="R84" s="54"/>
      <c r="S84" s="54"/>
      <c r="T84" s="54"/>
      <c r="U84" s="57"/>
      <c r="V84" s="54"/>
      <c r="W84" s="54"/>
      <c r="X84" s="54"/>
      <c r="Y84" s="54"/>
    </row>
    <row r="85" customHeight="1" spans="1:25">
      <c r="A85" s="31" t="str">
        <f t="shared" si="5"/>
        <v>-</v>
      </c>
      <c r="B85" s="53"/>
      <c r="C85" s="54"/>
      <c r="D85" s="54"/>
      <c r="E85" s="55"/>
      <c r="F85" s="54"/>
      <c r="G85" s="54"/>
      <c r="H85" s="52">
        <f>_xlfn.XLOOKUP(F85,产品资料!L:L,产品资料!K:K)</f>
        <v>0</v>
      </c>
      <c r="I85" s="54"/>
      <c r="J85" s="54"/>
      <c r="K85" s="37">
        <f>_xlfn.XLOOKUP(L85,产品资料!D:D,产品资料!C:C)</f>
        <v>0</v>
      </c>
      <c r="L85" s="56"/>
      <c r="M85" s="56"/>
      <c r="N85" s="54"/>
      <c r="O85" s="47"/>
      <c r="P85" s="41">
        <f t="shared" si="4"/>
        <v>0</v>
      </c>
      <c r="Q85" s="54"/>
      <c r="R85" s="54"/>
      <c r="S85" s="54"/>
      <c r="T85" s="54"/>
      <c r="U85" s="57"/>
      <c r="V85" s="54"/>
      <c r="W85" s="54"/>
      <c r="X85" s="54"/>
      <c r="Y85" s="54"/>
    </row>
    <row r="86" customHeight="1" spans="1:25">
      <c r="A86" s="31" t="str">
        <f t="shared" si="5"/>
        <v>-</v>
      </c>
      <c r="B86" s="53"/>
      <c r="C86" s="54"/>
      <c r="D86" s="54"/>
      <c r="E86" s="55"/>
      <c r="F86" s="54"/>
      <c r="G86" s="54"/>
      <c r="H86" s="52">
        <f>_xlfn.XLOOKUP(F86,产品资料!L:L,产品资料!K:K)</f>
        <v>0</v>
      </c>
      <c r="I86" s="54"/>
      <c r="J86" s="54"/>
      <c r="K86" s="37">
        <f>_xlfn.XLOOKUP(L86,产品资料!D:D,产品资料!C:C)</f>
        <v>0</v>
      </c>
      <c r="L86" s="56"/>
      <c r="M86" s="56"/>
      <c r="N86" s="54"/>
      <c r="O86" s="47"/>
      <c r="P86" s="41">
        <f t="shared" si="4"/>
        <v>0</v>
      </c>
      <c r="Q86" s="54"/>
      <c r="R86" s="54"/>
      <c r="S86" s="54"/>
      <c r="T86" s="54"/>
      <c r="U86" s="57"/>
      <c r="V86" s="54"/>
      <c r="W86" s="54"/>
      <c r="X86" s="54"/>
      <c r="Y86" s="54"/>
    </row>
    <row r="87" customHeight="1" spans="1:25">
      <c r="A87" s="31" t="str">
        <f t="shared" si="5"/>
        <v>-</v>
      </c>
      <c r="B87" s="53"/>
      <c r="C87" s="54"/>
      <c r="D87" s="54"/>
      <c r="E87" s="55"/>
      <c r="F87" s="54"/>
      <c r="G87" s="54"/>
      <c r="H87" s="52">
        <f>_xlfn.XLOOKUP(F87,产品资料!L:L,产品资料!K:K)</f>
        <v>0</v>
      </c>
      <c r="I87" s="54"/>
      <c r="J87" s="54"/>
      <c r="K87" s="37">
        <f>_xlfn.XLOOKUP(L87,产品资料!D:D,产品资料!C:C)</f>
        <v>0</v>
      </c>
      <c r="L87" s="56"/>
      <c r="M87" s="56"/>
      <c r="N87" s="54"/>
      <c r="O87" s="47"/>
      <c r="P87" s="41">
        <f t="shared" si="4"/>
        <v>0</v>
      </c>
      <c r="Q87" s="54"/>
      <c r="R87" s="54"/>
      <c r="S87" s="54"/>
      <c r="T87" s="54"/>
      <c r="U87" s="57"/>
      <c r="V87" s="54"/>
      <c r="W87" s="54"/>
      <c r="X87" s="54"/>
      <c r="Y87" s="54"/>
    </row>
    <row r="88" customHeight="1" spans="1:25">
      <c r="A88" s="31" t="str">
        <f t="shared" si="5"/>
        <v>-</v>
      </c>
      <c r="B88" s="53"/>
      <c r="C88" s="54"/>
      <c r="D88" s="54"/>
      <c r="E88" s="55"/>
      <c r="F88" s="54"/>
      <c r="G88" s="54"/>
      <c r="H88" s="52">
        <f>_xlfn.XLOOKUP(F88,产品资料!L:L,产品资料!K:K)</f>
        <v>0</v>
      </c>
      <c r="I88" s="54"/>
      <c r="J88" s="54"/>
      <c r="K88" s="37">
        <f>_xlfn.XLOOKUP(L88,产品资料!D:D,产品资料!C:C)</f>
        <v>0</v>
      </c>
      <c r="L88" s="56"/>
      <c r="M88" s="56"/>
      <c r="N88" s="54"/>
      <c r="O88" s="47"/>
      <c r="P88" s="41">
        <f t="shared" si="4"/>
        <v>0</v>
      </c>
      <c r="Q88" s="54"/>
      <c r="R88" s="54"/>
      <c r="S88" s="54"/>
      <c r="T88" s="54"/>
      <c r="U88" s="57"/>
      <c r="V88" s="54"/>
      <c r="W88" s="54"/>
      <c r="X88" s="54"/>
      <c r="Y88" s="54"/>
    </row>
    <row r="89" customHeight="1" spans="1:25">
      <c r="A89" s="31" t="str">
        <f t="shared" si="5"/>
        <v>-</v>
      </c>
      <c r="B89" s="53"/>
      <c r="C89" s="54"/>
      <c r="D89" s="54"/>
      <c r="E89" s="55"/>
      <c r="F89" s="54"/>
      <c r="G89" s="54"/>
      <c r="H89" s="52">
        <f>_xlfn.XLOOKUP(F89,产品资料!L:L,产品资料!K:K)</f>
        <v>0</v>
      </c>
      <c r="I89" s="54"/>
      <c r="J89" s="54"/>
      <c r="K89" s="37">
        <f>_xlfn.XLOOKUP(L89,产品资料!D:D,产品资料!C:C)</f>
        <v>0</v>
      </c>
      <c r="L89" s="56"/>
      <c r="M89" s="56"/>
      <c r="N89" s="54"/>
      <c r="O89" s="47"/>
      <c r="P89" s="41">
        <f t="shared" si="4"/>
        <v>0</v>
      </c>
      <c r="Q89" s="54"/>
      <c r="R89" s="54"/>
      <c r="S89" s="54"/>
      <c r="T89" s="54"/>
      <c r="U89" s="57"/>
      <c r="V89" s="54"/>
      <c r="W89" s="54"/>
      <c r="X89" s="54"/>
      <c r="Y89" s="54"/>
    </row>
    <row r="90" customHeight="1" spans="1:25">
      <c r="A90" s="31" t="str">
        <f t="shared" si="5"/>
        <v>-</v>
      </c>
      <c r="B90" s="53"/>
      <c r="C90" s="54"/>
      <c r="D90" s="54"/>
      <c r="E90" s="55"/>
      <c r="F90" s="54"/>
      <c r="G90" s="54"/>
      <c r="H90" s="52">
        <f>_xlfn.XLOOKUP(F90,产品资料!L:L,产品资料!K:K)</f>
        <v>0</v>
      </c>
      <c r="I90" s="54"/>
      <c r="J90" s="54"/>
      <c r="K90" s="37">
        <f>_xlfn.XLOOKUP(L90,产品资料!D:D,产品资料!C:C)</f>
        <v>0</v>
      </c>
      <c r="L90" s="56"/>
      <c r="M90" s="56"/>
      <c r="N90" s="54"/>
      <c r="O90" s="47"/>
      <c r="P90" s="41">
        <f t="shared" si="4"/>
        <v>0</v>
      </c>
      <c r="Q90" s="54"/>
      <c r="R90" s="54"/>
      <c r="S90" s="54"/>
      <c r="T90" s="54"/>
      <c r="U90" s="57"/>
      <c r="V90" s="54"/>
      <c r="W90" s="54"/>
      <c r="X90" s="54"/>
      <c r="Y90" s="54"/>
    </row>
    <row r="91" customHeight="1" spans="1:25">
      <c r="A91" s="31" t="str">
        <f t="shared" si="5"/>
        <v>-</v>
      </c>
      <c r="B91" s="53"/>
      <c r="C91" s="54"/>
      <c r="D91" s="54"/>
      <c r="E91" s="55"/>
      <c r="F91" s="54"/>
      <c r="G91" s="54"/>
      <c r="H91" s="52">
        <f>_xlfn.XLOOKUP(F91,产品资料!L:L,产品资料!K:K)</f>
        <v>0</v>
      </c>
      <c r="I91" s="54"/>
      <c r="J91" s="54"/>
      <c r="K91" s="37">
        <f>_xlfn.XLOOKUP(L91,产品资料!D:D,产品资料!C:C)</f>
        <v>0</v>
      </c>
      <c r="L91" s="56"/>
      <c r="M91" s="56"/>
      <c r="N91" s="54"/>
      <c r="O91" s="47"/>
      <c r="P91" s="41">
        <f t="shared" si="4"/>
        <v>0</v>
      </c>
      <c r="Q91" s="54"/>
      <c r="R91" s="54"/>
      <c r="S91" s="54"/>
      <c r="T91" s="54"/>
      <c r="U91" s="57"/>
      <c r="V91" s="54"/>
      <c r="W91" s="54"/>
      <c r="X91" s="54"/>
      <c r="Y91" s="54"/>
    </row>
    <row r="92" customHeight="1" spans="1:25">
      <c r="A92" s="31" t="str">
        <f t="shared" si="5"/>
        <v>-</v>
      </c>
      <c r="B92" s="53"/>
      <c r="C92" s="54"/>
      <c r="D92" s="54"/>
      <c r="E92" s="55"/>
      <c r="F92" s="54"/>
      <c r="G92" s="54"/>
      <c r="H92" s="52">
        <f>_xlfn.XLOOKUP(F92,产品资料!L:L,产品资料!K:K)</f>
        <v>0</v>
      </c>
      <c r="I92" s="54"/>
      <c r="J92" s="54"/>
      <c r="K92" s="37">
        <f>_xlfn.XLOOKUP(L92,产品资料!D:D,产品资料!C:C)</f>
        <v>0</v>
      </c>
      <c r="L92" s="56"/>
      <c r="M92" s="56"/>
      <c r="N92" s="54"/>
      <c r="O92" s="47"/>
      <c r="P92" s="41">
        <f t="shared" si="4"/>
        <v>0</v>
      </c>
      <c r="Q92" s="54"/>
      <c r="R92" s="54"/>
      <c r="S92" s="54"/>
      <c r="T92" s="54"/>
      <c r="U92" s="57"/>
      <c r="V92" s="54"/>
      <c r="W92" s="54"/>
      <c r="X92" s="54"/>
      <c r="Y92" s="54"/>
    </row>
    <row r="93" customHeight="1" spans="1:25">
      <c r="A93" s="31" t="str">
        <f t="shared" si="5"/>
        <v>-</v>
      </c>
      <c r="B93" s="53"/>
      <c r="C93" s="54"/>
      <c r="D93" s="54"/>
      <c r="E93" s="55"/>
      <c r="F93" s="54"/>
      <c r="G93" s="54"/>
      <c r="H93" s="52">
        <f>_xlfn.XLOOKUP(F93,产品资料!L:L,产品资料!K:K)</f>
        <v>0</v>
      </c>
      <c r="I93" s="54"/>
      <c r="J93" s="54"/>
      <c r="K93" s="37">
        <f>_xlfn.XLOOKUP(L93,产品资料!D:D,产品资料!C:C)</f>
        <v>0</v>
      </c>
      <c r="L93" s="56"/>
      <c r="M93" s="56"/>
      <c r="N93" s="54"/>
      <c r="O93" s="47"/>
      <c r="P93" s="41">
        <f t="shared" ref="P93:P123" si="6">N93*O93</f>
        <v>0</v>
      </c>
      <c r="Q93" s="54"/>
      <c r="R93" s="54"/>
      <c r="S93" s="54"/>
      <c r="T93" s="54"/>
      <c r="U93" s="57"/>
      <c r="V93" s="54"/>
      <c r="W93" s="54"/>
      <c r="X93" s="54"/>
      <c r="Y93" s="54"/>
    </row>
    <row r="94" customHeight="1" spans="1:25">
      <c r="A94" s="31" t="str">
        <f t="shared" si="5"/>
        <v>-</v>
      </c>
      <c r="B94" s="53"/>
      <c r="C94" s="54"/>
      <c r="D94" s="54"/>
      <c r="E94" s="55"/>
      <c r="F94" s="54"/>
      <c r="G94" s="54"/>
      <c r="H94" s="52">
        <f>_xlfn.XLOOKUP(F94,产品资料!L:L,产品资料!K:K)</f>
        <v>0</v>
      </c>
      <c r="I94" s="54"/>
      <c r="J94" s="54"/>
      <c r="K94" s="37">
        <f>_xlfn.XLOOKUP(L94,产品资料!D:D,产品资料!C:C)</f>
        <v>0</v>
      </c>
      <c r="L94" s="56"/>
      <c r="M94" s="56"/>
      <c r="N94" s="54"/>
      <c r="O94" s="47"/>
      <c r="P94" s="41">
        <f t="shared" si="6"/>
        <v>0</v>
      </c>
      <c r="Q94" s="54"/>
      <c r="R94" s="54"/>
      <c r="S94" s="54"/>
      <c r="T94" s="54"/>
      <c r="U94" s="57"/>
      <c r="V94" s="54"/>
      <c r="W94" s="54"/>
      <c r="X94" s="54"/>
      <c r="Y94" s="54"/>
    </row>
    <row r="95" customHeight="1" spans="1:25">
      <c r="A95" s="31" t="str">
        <f t="shared" si="5"/>
        <v>-</v>
      </c>
      <c r="B95" s="53"/>
      <c r="C95" s="54"/>
      <c r="D95" s="54"/>
      <c r="E95" s="55"/>
      <c r="F95" s="54"/>
      <c r="G95" s="54"/>
      <c r="H95" s="52">
        <f>_xlfn.XLOOKUP(F95,产品资料!L:L,产品资料!K:K)</f>
        <v>0</v>
      </c>
      <c r="I95" s="54"/>
      <c r="J95" s="54"/>
      <c r="K95" s="37">
        <f>_xlfn.XLOOKUP(L95,产品资料!D:D,产品资料!C:C)</f>
        <v>0</v>
      </c>
      <c r="L95" s="56"/>
      <c r="M95" s="56"/>
      <c r="N95" s="54"/>
      <c r="O95" s="47"/>
      <c r="P95" s="41">
        <f t="shared" si="6"/>
        <v>0</v>
      </c>
      <c r="Q95" s="54"/>
      <c r="R95" s="54"/>
      <c r="S95" s="54"/>
      <c r="T95" s="54"/>
      <c r="U95" s="57"/>
      <c r="V95" s="54"/>
      <c r="W95" s="54"/>
      <c r="X95" s="54"/>
      <c r="Y95" s="54"/>
    </row>
    <row r="96" customHeight="1" spans="1:25">
      <c r="A96" s="31" t="str">
        <f t="shared" si="5"/>
        <v>-</v>
      </c>
      <c r="B96" s="53"/>
      <c r="C96" s="54"/>
      <c r="D96" s="54"/>
      <c r="E96" s="55"/>
      <c r="F96" s="54"/>
      <c r="G96" s="54"/>
      <c r="H96" s="52">
        <f>_xlfn.XLOOKUP(F96,产品资料!L:L,产品资料!K:K)</f>
        <v>0</v>
      </c>
      <c r="I96" s="54"/>
      <c r="J96" s="54"/>
      <c r="K96" s="37">
        <f>_xlfn.XLOOKUP(L96,产品资料!D:D,产品资料!C:C)</f>
        <v>0</v>
      </c>
      <c r="L96" s="56"/>
      <c r="M96" s="56"/>
      <c r="N96" s="54"/>
      <c r="O96" s="47"/>
      <c r="P96" s="41">
        <f t="shared" si="6"/>
        <v>0</v>
      </c>
      <c r="Q96" s="54"/>
      <c r="R96" s="54"/>
      <c r="S96" s="54"/>
      <c r="T96" s="54"/>
      <c r="U96" s="57"/>
      <c r="V96" s="54"/>
      <c r="W96" s="54"/>
      <c r="X96" s="54"/>
      <c r="Y96" s="54"/>
    </row>
    <row r="97" customHeight="1" spans="1:25">
      <c r="A97" s="31" t="str">
        <f t="shared" si="5"/>
        <v>-</v>
      </c>
      <c r="B97" s="53"/>
      <c r="C97" s="54"/>
      <c r="D97" s="54"/>
      <c r="E97" s="55"/>
      <c r="F97" s="54"/>
      <c r="G97" s="54"/>
      <c r="H97" s="52">
        <f>_xlfn.XLOOKUP(F97,产品资料!L:L,产品资料!K:K)</f>
        <v>0</v>
      </c>
      <c r="I97" s="54"/>
      <c r="J97" s="54"/>
      <c r="K97" s="37">
        <f>_xlfn.XLOOKUP(L97,产品资料!D:D,产品资料!C:C)</f>
        <v>0</v>
      </c>
      <c r="L97" s="56"/>
      <c r="M97" s="56"/>
      <c r="N97" s="54"/>
      <c r="O97" s="47"/>
      <c r="P97" s="41">
        <f t="shared" si="6"/>
        <v>0</v>
      </c>
      <c r="Q97" s="54"/>
      <c r="R97" s="54"/>
      <c r="S97" s="54"/>
      <c r="T97" s="54"/>
      <c r="U97" s="57"/>
      <c r="V97" s="54"/>
      <c r="W97" s="54"/>
      <c r="X97" s="54"/>
      <c r="Y97" s="54"/>
    </row>
    <row r="98" customHeight="1" spans="1:25">
      <c r="A98" s="31" t="str">
        <f t="shared" si="5"/>
        <v>-</v>
      </c>
      <c r="B98" s="53"/>
      <c r="C98" s="54"/>
      <c r="D98" s="54"/>
      <c r="E98" s="55"/>
      <c r="F98" s="54"/>
      <c r="G98" s="54"/>
      <c r="H98" s="52">
        <f>_xlfn.XLOOKUP(F98,产品资料!L:L,产品资料!K:K)</f>
        <v>0</v>
      </c>
      <c r="I98" s="54"/>
      <c r="J98" s="54"/>
      <c r="K98" s="37">
        <f>_xlfn.XLOOKUP(L98,产品资料!D:D,产品资料!C:C)</f>
        <v>0</v>
      </c>
      <c r="L98" s="56"/>
      <c r="M98" s="56"/>
      <c r="N98" s="54"/>
      <c r="O98" s="47"/>
      <c r="P98" s="41">
        <f t="shared" si="6"/>
        <v>0</v>
      </c>
      <c r="Q98" s="54"/>
      <c r="R98" s="54"/>
      <c r="S98" s="54"/>
      <c r="T98" s="54"/>
      <c r="U98" s="57"/>
      <c r="V98" s="54"/>
      <c r="W98" s="54"/>
      <c r="X98" s="54"/>
      <c r="Y98" s="54"/>
    </row>
    <row r="99" customHeight="1" spans="1:25">
      <c r="A99" s="31" t="str">
        <f t="shared" ref="A99:A123" si="7">IF(B99="","-",ROW(A98))</f>
        <v>-</v>
      </c>
      <c r="B99" s="53"/>
      <c r="C99" s="54"/>
      <c r="D99" s="54"/>
      <c r="E99" s="55"/>
      <c r="F99" s="54"/>
      <c r="G99" s="54"/>
      <c r="H99" s="52">
        <f>_xlfn.XLOOKUP(F99,产品资料!L:L,产品资料!K:K)</f>
        <v>0</v>
      </c>
      <c r="I99" s="54"/>
      <c r="J99" s="54"/>
      <c r="K99" s="37">
        <f>_xlfn.XLOOKUP(L99,产品资料!D:D,产品资料!C:C)</f>
        <v>0</v>
      </c>
      <c r="L99" s="56"/>
      <c r="M99" s="56"/>
      <c r="N99" s="54"/>
      <c r="O99" s="47"/>
      <c r="P99" s="41">
        <f t="shared" si="6"/>
        <v>0</v>
      </c>
      <c r="Q99" s="54"/>
      <c r="R99" s="54"/>
      <c r="S99" s="54"/>
      <c r="T99" s="54"/>
      <c r="U99" s="57"/>
      <c r="V99" s="54"/>
      <c r="W99" s="54"/>
      <c r="X99" s="54"/>
      <c r="Y99" s="54"/>
    </row>
    <row r="100" customHeight="1" spans="1:25">
      <c r="A100" s="31" t="str">
        <f t="shared" si="7"/>
        <v>-</v>
      </c>
      <c r="B100" s="53"/>
      <c r="C100" s="54"/>
      <c r="D100" s="54"/>
      <c r="E100" s="55"/>
      <c r="F100" s="54"/>
      <c r="G100" s="54"/>
      <c r="H100" s="52">
        <f>_xlfn.XLOOKUP(F100,产品资料!L:L,产品资料!K:K)</f>
        <v>0</v>
      </c>
      <c r="I100" s="54"/>
      <c r="J100" s="54"/>
      <c r="K100" s="37">
        <f>_xlfn.XLOOKUP(L100,产品资料!D:D,产品资料!C:C)</f>
        <v>0</v>
      </c>
      <c r="L100" s="56"/>
      <c r="M100" s="56"/>
      <c r="N100" s="54"/>
      <c r="O100" s="47"/>
      <c r="P100" s="41">
        <f t="shared" si="6"/>
        <v>0</v>
      </c>
      <c r="Q100" s="54"/>
      <c r="R100" s="54"/>
      <c r="S100" s="54"/>
      <c r="T100" s="54"/>
      <c r="U100" s="57"/>
      <c r="V100" s="54"/>
      <c r="W100" s="54"/>
      <c r="X100" s="54"/>
      <c r="Y100" s="54"/>
    </row>
    <row r="101" customHeight="1" spans="1:25">
      <c r="A101" s="31" t="str">
        <f t="shared" si="7"/>
        <v>-</v>
      </c>
      <c r="B101" s="53"/>
      <c r="C101" s="54"/>
      <c r="D101" s="54"/>
      <c r="E101" s="55"/>
      <c r="F101" s="54"/>
      <c r="G101" s="54"/>
      <c r="H101" s="52">
        <f>_xlfn.XLOOKUP(F101,产品资料!L:L,产品资料!K:K)</f>
        <v>0</v>
      </c>
      <c r="I101" s="54"/>
      <c r="J101" s="54"/>
      <c r="K101" s="37">
        <f>_xlfn.XLOOKUP(L101,产品资料!D:D,产品资料!C:C)</f>
        <v>0</v>
      </c>
      <c r="L101" s="56"/>
      <c r="M101" s="56"/>
      <c r="N101" s="54"/>
      <c r="O101" s="47"/>
      <c r="P101" s="41">
        <f t="shared" si="6"/>
        <v>0</v>
      </c>
      <c r="Q101" s="54"/>
      <c r="R101" s="54"/>
      <c r="S101" s="54"/>
      <c r="T101" s="54"/>
      <c r="U101" s="57"/>
      <c r="V101" s="54"/>
      <c r="W101" s="54"/>
      <c r="X101" s="54"/>
      <c r="Y101" s="54"/>
    </row>
    <row r="102" customHeight="1" spans="1:25">
      <c r="A102" s="31" t="str">
        <f t="shared" si="7"/>
        <v>-</v>
      </c>
      <c r="B102" s="53"/>
      <c r="C102" s="54"/>
      <c r="D102" s="54"/>
      <c r="E102" s="55"/>
      <c r="F102" s="54"/>
      <c r="G102" s="54"/>
      <c r="H102" s="52">
        <f>_xlfn.XLOOKUP(F102,产品资料!L:L,产品资料!K:K)</f>
        <v>0</v>
      </c>
      <c r="I102" s="54"/>
      <c r="J102" s="54"/>
      <c r="K102" s="37">
        <f>_xlfn.XLOOKUP(L102,产品资料!D:D,产品资料!C:C)</f>
        <v>0</v>
      </c>
      <c r="L102" s="56"/>
      <c r="M102" s="56"/>
      <c r="N102" s="54"/>
      <c r="O102" s="47"/>
      <c r="P102" s="41">
        <f t="shared" si="6"/>
        <v>0</v>
      </c>
      <c r="Q102" s="54"/>
      <c r="R102" s="54"/>
      <c r="S102" s="54"/>
      <c r="T102" s="54"/>
      <c r="U102" s="57"/>
      <c r="V102" s="54"/>
      <c r="W102" s="54"/>
      <c r="X102" s="54"/>
      <c r="Y102" s="54"/>
    </row>
    <row r="103" customHeight="1" spans="1:25">
      <c r="A103" s="31" t="str">
        <f t="shared" si="7"/>
        <v>-</v>
      </c>
      <c r="B103" s="53"/>
      <c r="C103" s="54"/>
      <c r="D103" s="54"/>
      <c r="E103" s="55"/>
      <c r="F103" s="54"/>
      <c r="G103" s="54"/>
      <c r="H103" s="52">
        <f>_xlfn.XLOOKUP(F103,产品资料!L:L,产品资料!K:K)</f>
        <v>0</v>
      </c>
      <c r="I103" s="54"/>
      <c r="J103" s="54"/>
      <c r="K103" s="37">
        <f>_xlfn.XLOOKUP(L103,产品资料!D:D,产品资料!C:C)</f>
        <v>0</v>
      </c>
      <c r="L103" s="56"/>
      <c r="M103" s="56"/>
      <c r="N103" s="54"/>
      <c r="O103" s="47"/>
      <c r="P103" s="41">
        <f t="shared" si="6"/>
        <v>0</v>
      </c>
      <c r="Q103" s="54"/>
      <c r="R103" s="54"/>
      <c r="S103" s="54"/>
      <c r="T103" s="54"/>
      <c r="U103" s="57"/>
      <c r="V103" s="54"/>
      <c r="W103" s="54"/>
      <c r="X103" s="54"/>
      <c r="Y103" s="54"/>
    </row>
    <row r="104" customHeight="1" spans="1:25">
      <c r="A104" s="31" t="str">
        <f t="shared" si="7"/>
        <v>-</v>
      </c>
      <c r="B104" s="53"/>
      <c r="C104" s="54"/>
      <c r="D104" s="54"/>
      <c r="E104" s="55"/>
      <c r="F104" s="54"/>
      <c r="G104" s="54"/>
      <c r="H104" s="52">
        <f>_xlfn.XLOOKUP(F104,产品资料!L:L,产品资料!K:K)</f>
        <v>0</v>
      </c>
      <c r="I104" s="54"/>
      <c r="J104" s="54"/>
      <c r="K104" s="37">
        <f>_xlfn.XLOOKUP(L104,产品资料!D:D,产品资料!C:C)</f>
        <v>0</v>
      </c>
      <c r="L104" s="56"/>
      <c r="M104" s="56"/>
      <c r="N104" s="54"/>
      <c r="O104" s="47"/>
      <c r="P104" s="41">
        <f t="shared" si="6"/>
        <v>0</v>
      </c>
      <c r="Q104" s="54"/>
      <c r="R104" s="54"/>
      <c r="S104" s="54"/>
      <c r="T104" s="54"/>
      <c r="U104" s="57"/>
      <c r="V104" s="54"/>
      <c r="W104" s="54"/>
      <c r="X104" s="54"/>
      <c r="Y104" s="54"/>
    </row>
    <row r="105" customHeight="1" spans="1:25">
      <c r="A105" s="31" t="str">
        <f t="shared" si="7"/>
        <v>-</v>
      </c>
      <c r="B105" s="53"/>
      <c r="C105" s="54"/>
      <c r="D105" s="54"/>
      <c r="E105" s="55"/>
      <c r="F105" s="54"/>
      <c r="G105" s="54"/>
      <c r="H105" s="52">
        <f>_xlfn.XLOOKUP(F105,产品资料!L:L,产品资料!K:K)</f>
        <v>0</v>
      </c>
      <c r="I105" s="54"/>
      <c r="J105" s="54"/>
      <c r="K105" s="37">
        <f>_xlfn.XLOOKUP(L105,产品资料!D:D,产品资料!C:C)</f>
        <v>0</v>
      </c>
      <c r="L105" s="56"/>
      <c r="M105" s="56"/>
      <c r="N105" s="54"/>
      <c r="O105" s="47"/>
      <c r="P105" s="41">
        <f t="shared" si="6"/>
        <v>0</v>
      </c>
      <c r="Q105" s="54"/>
      <c r="R105" s="54"/>
      <c r="S105" s="54"/>
      <c r="T105" s="54"/>
      <c r="U105" s="57"/>
      <c r="V105" s="54"/>
      <c r="W105" s="54"/>
      <c r="X105" s="54"/>
      <c r="Y105" s="54"/>
    </row>
    <row r="106" customHeight="1" spans="1:25">
      <c r="A106" s="31" t="str">
        <f t="shared" si="7"/>
        <v>-</v>
      </c>
      <c r="B106" s="53"/>
      <c r="C106" s="54"/>
      <c r="D106" s="54"/>
      <c r="E106" s="55"/>
      <c r="F106" s="54"/>
      <c r="G106" s="54"/>
      <c r="H106" s="52">
        <f>_xlfn.XLOOKUP(F106,产品资料!L:L,产品资料!K:K)</f>
        <v>0</v>
      </c>
      <c r="I106" s="54"/>
      <c r="J106" s="54"/>
      <c r="K106" s="37">
        <f>_xlfn.XLOOKUP(L106,产品资料!D:D,产品资料!C:C)</f>
        <v>0</v>
      </c>
      <c r="L106" s="56"/>
      <c r="M106" s="56"/>
      <c r="N106" s="54"/>
      <c r="O106" s="47"/>
      <c r="P106" s="41">
        <f t="shared" si="6"/>
        <v>0</v>
      </c>
      <c r="Q106" s="54"/>
      <c r="R106" s="54"/>
      <c r="S106" s="54"/>
      <c r="T106" s="54"/>
      <c r="U106" s="57"/>
      <c r="V106" s="54"/>
      <c r="W106" s="54"/>
      <c r="X106" s="54"/>
      <c r="Y106" s="54"/>
    </row>
    <row r="107" customHeight="1" spans="1:25">
      <c r="A107" s="31" t="str">
        <f t="shared" si="7"/>
        <v>-</v>
      </c>
      <c r="B107" s="53"/>
      <c r="C107" s="54"/>
      <c r="D107" s="54"/>
      <c r="E107" s="55"/>
      <c r="F107" s="54"/>
      <c r="G107" s="54"/>
      <c r="H107" s="52">
        <f>_xlfn.XLOOKUP(F107,产品资料!L:L,产品资料!K:K)</f>
        <v>0</v>
      </c>
      <c r="I107" s="54"/>
      <c r="J107" s="54"/>
      <c r="K107" s="37">
        <f>_xlfn.XLOOKUP(L107,产品资料!D:D,产品资料!C:C)</f>
        <v>0</v>
      </c>
      <c r="L107" s="56"/>
      <c r="M107" s="56"/>
      <c r="N107" s="54"/>
      <c r="O107" s="47"/>
      <c r="P107" s="41">
        <f t="shared" si="6"/>
        <v>0</v>
      </c>
      <c r="Q107" s="54"/>
      <c r="R107" s="54"/>
      <c r="S107" s="54"/>
      <c r="T107" s="54"/>
      <c r="U107" s="57"/>
      <c r="V107" s="54"/>
      <c r="W107" s="54"/>
      <c r="X107" s="54"/>
      <c r="Y107" s="54"/>
    </row>
    <row r="108" customHeight="1" spans="1:25">
      <c r="A108" s="31" t="str">
        <f t="shared" si="7"/>
        <v>-</v>
      </c>
      <c r="B108" s="53"/>
      <c r="C108" s="54"/>
      <c r="D108" s="54"/>
      <c r="E108" s="55"/>
      <c r="F108" s="54"/>
      <c r="G108" s="54"/>
      <c r="H108" s="52">
        <f>_xlfn.XLOOKUP(F108,产品资料!L:L,产品资料!K:K)</f>
        <v>0</v>
      </c>
      <c r="I108" s="54"/>
      <c r="J108" s="54"/>
      <c r="K108" s="37">
        <f>_xlfn.XLOOKUP(L108,产品资料!D:D,产品资料!C:C)</f>
        <v>0</v>
      </c>
      <c r="L108" s="56"/>
      <c r="M108" s="56"/>
      <c r="N108" s="54"/>
      <c r="O108" s="47"/>
      <c r="P108" s="41">
        <f t="shared" si="6"/>
        <v>0</v>
      </c>
      <c r="Q108" s="54"/>
      <c r="R108" s="54"/>
      <c r="S108" s="54"/>
      <c r="T108" s="54"/>
      <c r="U108" s="57"/>
      <c r="V108" s="54"/>
      <c r="W108" s="54"/>
      <c r="X108" s="54"/>
      <c r="Y108" s="54"/>
    </row>
    <row r="109" customHeight="1" spans="1:25">
      <c r="A109" s="31" t="str">
        <f t="shared" si="7"/>
        <v>-</v>
      </c>
      <c r="B109" s="53"/>
      <c r="C109" s="54"/>
      <c r="D109" s="54"/>
      <c r="E109" s="55"/>
      <c r="F109" s="54"/>
      <c r="G109" s="54"/>
      <c r="H109" s="52">
        <f>_xlfn.XLOOKUP(F109,产品资料!L:L,产品资料!K:K)</f>
        <v>0</v>
      </c>
      <c r="I109" s="54"/>
      <c r="J109" s="54"/>
      <c r="K109" s="37">
        <f>_xlfn.XLOOKUP(L109,产品资料!D:D,产品资料!C:C)</f>
        <v>0</v>
      </c>
      <c r="L109" s="56"/>
      <c r="M109" s="56"/>
      <c r="N109" s="54"/>
      <c r="O109" s="47"/>
      <c r="P109" s="41">
        <f t="shared" si="6"/>
        <v>0</v>
      </c>
      <c r="Q109" s="54"/>
      <c r="R109" s="54"/>
      <c r="S109" s="54"/>
      <c r="T109" s="54"/>
      <c r="U109" s="57"/>
      <c r="V109" s="54"/>
      <c r="W109" s="54"/>
      <c r="X109" s="54"/>
      <c r="Y109" s="54"/>
    </row>
    <row r="110" customHeight="1" spans="1:25">
      <c r="A110" s="31" t="str">
        <f t="shared" si="7"/>
        <v>-</v>
      </c>
      <c r="B110" s="53"/>
      <c r="C110" s="54"/>
      <c r="D110" s="54"/>
      <c r="E110" s="55"/>
      <c r="F110" s="54"/>
      <c r="G110" s="54"/>
      <c r="H110" s="52">
        <f>_xlfn.XLOOKUP(F110,产品资料!L:L,产品资料!K:K)</f>
        <v>0</v>
      </c>
      <c r="I110" s="54"/>
      <c r="J110" s="54"/>
      <c r="K110" s="37">
        <f>_xlfn.XLOOKUP(L110,产品资料!D:D,产品资料!C:C)</f>
        <v>0</v>
      </c>
      <c r="L110" s="56"/>
      <c r="M110" s="56"/>
      <c r="N110" s="54"/>
      <c r="O110" s="47"/>
      <c r="P110" s="41">
        <f t="shared" si="6"/>
        <v>0</v>
      </c>
      <c r="Q110" s="54"/>
      <c r="R110" s="54"/>
      <c r="S110" s="54"/>
      <c r="T110" s="54"/>
      <c r="U110" s="57"/>
      <c r="V110" s="54"/>
      <c r="W110" s="54"/>
      <c r="X110" s="54"/>
      <c r="Y110" s="54"/>
    </row>
    <row r="111" customHeight="1" spans="1:25">
      <c r="A111" s="31" t="str">
        <f t="shared" si="7"/>
        <v>-</v>
      </c>
      <c r="B111" s="53"/>
      <c r="C111" s="54"/>
      <c r="D111" s="54"/>
      <c r="E111" s="55"/>
      <c r="F111" s="54"/>
      <c r="G111" s="54"/>
      <c r="H111" s="52">
        <f>_xlfn.XLOOKUP(F111,产品资料!L:L,产品资料!K:K)</f>
        <v>0</v>
      </c>
      <c r="I111" s="54"/>
      <c r="J111" s="54"/>
      <c r="K111" s="37">
        <f>_xlfn.XLOOKUP(L111,产品资料!D:D,产品资料!C:C)</f>
        <v>0</v>
      </c>
      <c r="L111" s="56"/>
      <c r="M111" s="56"/>
      <c r="N111" s="54"/>
      <c r="O111" s="47"/>
      <c r="P111" s="41">
        <f t="shared" si="6"/>
        <v>0</v>
      </c>
      <c r="Q111" s="54"/>
      <c r="R111" s="54"/>
      <c r="S111" s="54"/>
      <c r="T111" s="54"/>
      <c r="U111" s="57"/>
      <c r="V111" s="54"/>
      <c r="W111" s="54"/>
      <c r="X111" s="54"/>
      <c r="Y111" s="54"/>
    </row>
    <row r="112" customHeight="1" spans="1:25">
      <c r="A112" s="31" t="str">
        <f t="shared" si="7"/>
        <v>-</v>
      </c>
      <c r="B112" s="53"/>
      <c r="C112" s="54"/>
      <c r="D112" s="54"/>
      <c r="E112" s="55"/>
      <c r="F112" s="54"/>
      <c r="G112" s="54"/>
      <c r="H112" s="52">
        <f>_xlfn.XLOOKUP(F112,产品资料!L:L,产品资料!K:K)</f>
        <v>0</v>
      </c>
      <c r="I112" s="54"/>
      <c r="J112" s="54"/>
      <c r="K112" s="37">
        <f>_xlfn.XLOOKUP(L112,产品资料!D:D,产品资料!C:C)</f>
        <v>0</v>
      </c>
      <c r="L112" s="56"/>
      <c r="M112" s="56"/>
      <c r="N112" s="54"/>
      <c r="O112" s="47"/>
      <c r="P112" s="41">
        <f t="shared" si="6"/>
        <v>0</v>
      </c>
      <c r="Q112" s="54"/>
      <c r="R112" s="54"/>
      <c r="S112" s="54"/>
      <c r="T112" s="54"/>
      <c r="U112" s="57"/>
      <c r="V112" s="54"/>
      <c r="W112" s="54"/>
      <c r="X112" s="54"/>
      <c r="Y112" s="54"/>
    </row>
    <row r="113" customHeight="1" spans="1:25">
      <c r="A113" s="31" t="str">
        <f t="shared" si="7"/>
        <v>-</v>
      </c>
      <c r="B113" s="53"/>
      <c r="C113" s="54"/>
      <c r="D113" s="54"/>
      <c r="E113" s="55"/>
      <c r="F113" s="54"/>
      <c r="G113" s="54"/>
      <c r="H113" s="52">
        <f>_xlfn.XLOOKUP(F113,产品资料!L:L,产品资料!K:K)</f>
        <v>0</v>
      </c>
      <c r="I113" s="54"/>
      <c r="J113" s="54"/>
      <c r="K113" s="37">
        <f>_xlfn.XLOOKUP(L113,产品资料!D:D,产品资料!C:C)</f>
        <v>0</v>
      </c>
      <c r="L113" s="56"/>
      <c r="M113" s="56"/>
      <c r="N113" s="54"/>
      <c r="O113" s="47"/>
      <c r="P113" s="41">
        <f t="shared" si="6"/>
        <v>0</v>
      </c>
      <c r="Q113" s="54"/>
      <c r="R113" s="54"/>
      <c r="S113" s="54"/>
      <c r="T113" s="54"/>
      <c r="U113" s="57"/>
      <c r="V113" s="54"/>
      <c r="W113" s="54"/>
      <c r="X113" s="54"/>
      <c r="Y113" s="54"/>
    </row>
    <row r="114" customHeight="1" spans="1:25">
      <c r="A114" s="31" t="str">
        <f t="shared" si="7"/>
        <v>-</v>
      </c>
      <c r="B114" s="53"/>
      <c r="C114" s="54"/>
      <c r="D114" s="54"/>
      <c r="E114" s="55"/>
      <c r="F114" s="54"/>
      <c r="G114" s="54"/>
      <c r="H114" s="52">
        <f>_xlfn.XLOOKUP(F114,产品资料!L:L,产品资料!K:K)</f>
        <v>0</v>
      </c>
      <c r="I114" s="54"/>
      <c r="J114" s="54"/>
      <c r="K114" s="37">
        <f>_xlfn.XLOOKUP(L114,产品资料!D:D,产品资料!C:C)</f>
        <v>0</v>
      </c>
      <c r="L114" s="56"/>
      <c r="M114" s="56"/>
      <c r="N114" s="54"/>
      <c r="O114" s="47"/>
      <c r="P114" s="41">
        <f t="shared" si="6"/>
        <v>0</v>
      </c>
      <c r="Q114" s="54"/>
      <c r="R114" s="54"/>
      <c r="S114" s="54"/>
      <c r="T114" s="54"/>
      <c r="U114" s="57"/>
      <c r="V114" s="54"/>
      <c r="W114" s="54"/>
      <c r="X114" s="54"/>
      <c r="Y114" s="54"/>
    </row>
    <row r="115" customHeight="1" spans="1:25">
      <c r="A115" s="31" t="str">
        <f t="shared" si="7"/>
        <v>-</v>
      </c>
      <c r="B115" s="53"/>
      <c r="C115" s="54"/>
      <c r="D115" s="54"/>
      <c r="E115" s="55"/>
      <c r="F115" s="54"/>
      <c r="G115" s="54"/>
      <c r="H115" s="52">
        <f>_xlfn.XLOOKUP(F115,产品资料!L:L,产品资料!K:K)</f>
        <v>0</v>
      </c>
      <c r="I115" s="54"/>
      <c r="J115" s="54"/>
      <c r="K115" s="37">
        <f>_xlfn.XLOOKUP(L115,产品资料!D:D,产品资料!C:C)</f>
        <v>0</v>
      </c>
      <c r="L115" s="56"/>
      <c r="M115" s="56"/>
      <c r="N115" s="54"/>
      <c r="O115" s="47"/>
      <c r="P115" s="41">
        <f t="shared" si="6"/>
        <v>0</v>
      </c>
      <c r="Q115" s="54"/>
      <c r="R115" s="54"/>
      <c r="S115" s="54"/>
      <c r="T115" s="54"/>
      <c r="U115" s="57"/>
      <c r="V115" s="54"/>
      <c r="W115" s="54"/>
      <c r="X115" s="54"/>
      <c r="Y115" s="54"/>
    </row>
    <row r="116" customHeight="1" spans="1:25">
      <c r="A116" s="31" t="str">
        <f t="shared" si="7"/>
        <v>-</v>
      </c>
      <c r="B116" s="53"/>
      <c r="C116" s="54"/>
      <c r="D116" s="54"/>
      <c r="E116" s="55"/>
      <c r="F116" s="54"/>
      <c r="G116" s="54"/>
      <c r="H116" s="52">
        <f>_xlfn.XLOOKUP(F116,产品资料!L:L,产品资料!K:K)</f>
        <v>0</v>
      </c>
      <c r="I116" s="54"/>
      <c r="J116" s="54"/>
      <c r="K116" s="37">
        <f>_xlfn.XLOOKUP(L116,产品资料!D:D,产品资料!C:C)</f>
        <v>0</v>
      </c>
      <c r="L116" s="56"/>
      <c r="M116" s="56"/>
      <c r="N116" s="54"/>
      <c r="O116" s="47"/>
      <c r="P116" s="41">
        <f t="shared" si="6"/>
        <v>0</v>
      </c>
      <c r="Q116" s="54"/>
      <c r="R116" s="54"/>
      <c r="S116" s="54"/>
      <c r="T116" s="54"/>
      <c r="U116" s="57"/>
      <c r="V116" s="54"/>
      <c r="W116" s="54"/>
      <c r="X116" s="54"/>
      <c r="Y116" s="54"/>
    </row>
    <row r="117" customHeight="1" spans="1:25">
      <c r="A117" s="31" t="str">
        <f t="shared" si="7"/>
        <v>-</v>
      </c>
      <c r="B117" s="53"/>
      <c r="C117" s="54"/>
      <c r="D117" s="54"/>
      <c r="E117" s="55"/>
      <c r="F117" s="54"/>
      <c r="G117" s="54"/>
      <c r="H117" s="52">
        <f>_xlfn.XLOOKUP(F117,产品资料!L:L,产品资料!K:K)</f>
        <v>0</v>
      </c>
      <c r="I117" s="54"/>
      <c r="J117" s="54"/>
      <c r="K117" s="37">
        <f>_xlfn.XLOOKUP(L117,产品资料!D:D,产品资料!C:C)</f>
        <v>0</v>
      </c>
      <c r="L117" s="56"/>
      <c r="M117" s="56"/>
      <c r="N117" s="54"/>
      <c r="O117" s="47"/>
      <c r="P117" s="41">
        <f t="shared" si="6"/>
        <v>0</v>
      </c>
      <c r="Q117" s="54"/>
      <c r="R117" s="54"/>
      <c r="S117" s="54"/>
      <c r="T117" s="54"/>
      <c r="U117" s="57"/>
      <c r="V117" s="54"/>
      <c r="W117" s="54"/>
      <c r="X117" s="54"/>
      <c r="Y117" s="54"/>
    </row>
    <row r="118" customHeight="1" spans="1:25">
      <c r="A118" s="31" t="str">
        <f t="shared" si="7"/>
        <v>-</v>
      </c>
      <c r="B118" s="53"/>
      <c r="C118" s="54"/>
      <c r="D118" s="54"/>
      <c r="E118" s="55"/>
      <c r="F118" s="54"/>
      <c r="G118" s="54"/>
      <c r="H118" s="52">
        <f>_xlfn.XLOOKUP(F118,产品资料!L:L,产品资料!K:K)</f>
        <v>0</v>
      </c>
      <c r="I118" s="54"/>
      <c r="J118" s="54"/>
      <c r="K118" s="37">
        <f>_xlfn.XLOOKUP(L118,产品资料!D:D,产品资料!C:C)</f>
        <v>0</v>
      </c>
      <c r="L118" s="56"/>
      <c r="M118" s="56"/>
      <c r="N118" s="54"/>
      <c r="O118" s="47"/>
      <c r="P118" s="41">
        <f t="shared" si="6"/>
        <v>0</v>
      </c>
      <c r="Q118" s="54"/>
      <c r="R118" s="54"/>
      <c r="S118" s="54"/>
      <c r="T118" s="54"/>
      <c r="U118" s="57"/>
      <c r="V118" s="54"/>
      <c r="W118" s="54"/>
      <c r="X118" s="54"/>
      <c r="Y118" s="54"/>
    </row>
    <row r="119" customHeight="1" spans="1:25">
      <c r="A119" s="31" t="str">
        <f t="shared" si="7"/>
        <v>-</v>
      </c>
      <c r="B119" s="53"/>
      <c r="C119" s="54"/>
      <c r="D119" s="54"/>
      <c r="E119" s="55"/>
      <c r="F119" s="54"/>
      <c r="G119" s="54"/>
      <c r="H119" s="52">
        <f>_xlfn.XLOOKUP(F119,产品资料!L:L,产品资料!K:K)</f>
        <v>0</v>
      </c>
      <c r="I119" s="54"/>
      <c r="J119" s="54"/>
      <c r="K119" s="37">
        <f>_xlfn.XLOOKUP(L119,产品资料!D:D,产品资料!C:C)</f>
        <v>0</v>
      </c>
      <c r="L119" s="56"/>
      <c r="M119" s="56"/>
      <c r="N119" s="54"/>
      <c r="O119" s="47"/>
      <c r="P119" s="41">
        <f t="shared" si="6"/>
        <v>0</v>
      </c>
      <c r="Q119" s="54"/>
      <c r="R119" s="54"/>
      <c r="S119" s="54"/>
      <c r="T119" s="54"/>
      <c r="U119" s="57"/>
      <c r="V119" s="54"/>
      <c r="W119" s="54"/>
      <c r="X119" s="54"/>
      <c r="Y119" s="54"/>
    </row>
    <row r="120" customHeight="1" spans="1:25">
      <c r="A120" s="31" t="str">
        <f t="shared" si="7"/>
        <v>-</v>
      </c>
      <c r="B120" s="53"/>
      <c r="C120" s="54"/>
      <c r="D120" s="54"/>
      <c r="E120" s="55"/>
      <c r="F120" s="54"/>
      <c r="G120" s="54"/>
      <c r="H120" s="52">
        <f>_xlfn.XLOOKUP(F120,产品资料!L:L,产品资料!K:K)</f>
        <v>0</v>
      </c>
      <c r="I120" s="54"/>
      <c r="J120" s="54"/>
      <c r="K120" s="37">
        <f>_xlfn.XLOOKUP(L120,产品资料!D:D,产品资料!C:C)</f>
        <v>0</v>
      </c>
      <c r="L120" s="56"/>
      <c r="M120" s="56"/>
      <c r="N120" s="54"/>
      <c r="O120" s="47"/>
      <c r="P120" s="41">
        <f t="shared" si="6"/>
        <v>0</v>
      </c>
      <c r="Q120" s="54"/>
      <c r="R120" s="54"/>
      <c r="S120" s="54"/>
      <c r="T120" s="54"/>
      <c r="U120" s="57"/>
      <c r="V120" s="54"/>
      <c r="W120" s="54"/>
      <c r="X120" s="54"/>
      <c r="Y120" s="54"/>
    </row>
    <row r="121" customHeight="1" spans="1:25">
      <c r="A121" s="31" t="str">
        <f t="shared" si="7"/>
        <v>-</v>
      </c>
      <c r="B121" s="53"/>
      <c r="C121" s="54"/>
      <c r="D121" s="54"/>
      <c r="E121" s="55"/>
      <c r="F121" s="54"/>
      <c r="G121" s="54"/>
      <c r="H121" s="52">
        <f>_xlfn.XLOOKUP(F121,产品资料!L:L,产品资料!K:K)</f>
        <v>0</v>
      </c>
      <c r="I121" s="54"/>
      <c r="J121" s="54"/>
      <c r="K121" s="37">
        <f>_xlfn.XLOOKUP(L121,产品资料!D:D,产品资料!C:C)</f>
        <v>0</v>
      </c>
      <c r="L121" s="56"/>
      <c r="M121" s="56"/>
      <c r="N121" s="54"/>
      <c r="O121" s="47"/>
      <c r="P121" s="41">
        <f t="shared" si="6"/>
        <v>0</v>
      </c>
      <c r="Q121" s="54"/>
      <c r="R121" s="54"/>
      <c r="S121" s="54"/>
      <c r="T121" s="54"/>
      <c r="U121" s="57"/>
      <c r="V121" s="54"/>
      <c r="W121" s="54"/>
      <c r="X121" s="54"/>
      <c r="Y121" s="54"/>
    </row>
    <row r="122" customHeight="1" spans="1:25">
      <c r="A122" s="31" t="str">
        <f t="shared" si="7"/>
        <v>-</v>
      </c>
      <c r="B122" s="53"/>
      <c r="C122" s="54"/>
      <c r="D122" s="54"/>
      <c r="E122" s="55"/>
      <c r="F122" s="54"/>
      <c r="G122" s="54"/>
      <c r="H122" s="52">
        <f>_xlfn.XLOOKUP(F122,产品资料!L:L,产品资料!K:K)</f>
        <v>0</v>
      </c>
      <c r="I122" s="54"/>
      <c r="J122" s="54"/>
      <c r="K122" s="37">
        <f>_xlfn.XLOOKUP(L122,产品资料!D:D,产品资料!C:C)</f>
        <v>0</v>
      </c>
      <c r="L122" s="56"/>
      <c r="M122" s="56"/>
      <c r="N122" s="54"/>
      <c r="O122" s="47"/>
      <c r="P122" s="41">
        <f t="shared" si="6"/>
        <v>0</v>
      </c>
      <c r="Q122" s="54"/>
      <c r="R122" s="54"/>
      <c r="S122" s="54"/>
      <c r="T122" s="54"/>
      <c r="U122" s="57"/>
      <c r="V122" s="54"/>
      <c r="W122" s="54"/>
      <c r="X122" s="54"/>
      <c r="Y122" s="54"/>
    </row>
    <row r="123" customHeight="1" spans="1:25">
      <c r="A123" s="31" t="str">
        <f t="shared" si="7"/>
        <v>-</v>
      </c>
      <c r="B123" s="53"/>
      <c r="C123" s="54"/>
      <c r="D123" s="54"/>
      <c r="E123" s="55"/>
      <c r="F123" s="54"/>
      <c r="G123" s="54"/>
      <c r="H123" s="52">
        <f>_xlfn.XLOOKUP(F123,产品资料!L:L,产品资料!K:K)</f>
        <v>0</v>
      </c>
      <c r="I123" s="58"/>
      <c r="J123" s="58"/>
      <c r="K123" s="59">
        <f>_xlfn.XLOOKUP(L123,产品资料!D:D,产品资料!C:C)</f>
        <v>0</v>
      </c>
      <c r="L123" s="60"/>
      <c r="M123" s="60"/>
      <c r="N123" s="58"/>
      <c r="O123" s="61"/>
      <c r="P123" s="62">
        <f t="shared" si="6"/>
        <v>0</v>
      </c>
      <c r="Q123" s="58"/>
      <c r="R123" s="58"/>
      <c r="S123" s="54"/>
      <c r="T123" s="54"/>
      <c r="U123" s="57"/>
      <c r="V123" s="54"/>
      <c r="W123" s="54"/>
      <c r="X123" s="54"/>
      <c r="Y123" s="54"/>
    </row>
  </sheetData>
  <dataValidations count="10">
    <dataValidation type="list" allowBlank="1" showInputMessage="1" showErrorMessage="1" sqref="F2 F3 F4 F5 F6 F7 F10 F11 F12 F8:F9 F13:F56">
      <formula1>产品资料!$L$2:$L$25</formula1>
    </dataValidation>
    <dataValidation type="list" allowBlank="1" showInputMessage="1" showErrorMessage="1" sqref="G2 G14 G3:G13 G15:G16 G17:G1048576">
      <formula1>产品资料!$M:$M</formula1>
    </dataValidation>
    <dataValidation type="list" allowBlank="1" showInputMessage="1" showErrorMessage="1" sqref="M16 M2:M4 M5:M13 M14:M15 M17:M56">
      <formula1>产品资料!$E$5:$E$498</formula1>
    </dataValidation>
    <dataValidation type="list" allowBlank="1" showInputMessage="1" showErrorMessage="1" sqref="C2:C1048576">
      <formula1>"服务,新增"</formula1>
    </dataValidation>
    <dataValidation type="list" allowBlank="1" showInputMessage="1" showErrorMessage="1" sqref="D2:D56">
      <formula1>"租赁1,租赁2"</formula1>
    </dataValidation>
    <dataValidation type="list" allowBlank="1" showInputMessage="1" showErrorMessage="1" sqref="E2:E56">
      <formula1>产品资料!$J$2:$J$21</formula1>
    </dataValidation>
    <dataValidation type="list" allowBlank="1" showInputMessage="1" showErrorMessage="1" sqref="L2:L56">
      <formula1>产品资料!#REF!</formula1>
    </dataValidation>
    <dataValidation type="list" allowBlank="1" showInputMessage="1" showErrorMessage="1" sqref="T2:T4 T5:T13 T14:T1048576">
      <formula1>产品资料!$N:$N</formula1>
    </dataValidation>
    <dataValidation type="list" allowBlank="1" showInputMessage="1" showErrorMessage="1" sqref="V2:V1048576">
      <formula1>产品资料!$D:$D</formula1>
    </dataValidation>
    <dataValidation type="list" allowBlank="1" showInputMessage="1" showErrorMessage="1" sqref="W2:W1048576">
      <formula1>产品资料!$E:$E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填写要求"/>
  <dimension ref="A1:C13"/>
  <sheetViews>
    <sheetView workbookViewId="0">
      <selection activeCell="F20" sqref="F20"/>
    </sheetView>
  </sheetViews>
  <sheetFormatPr defaultColWidth="14" defaultRowHeight="18" customHeight="1" outlineLevelCol="2"/>
  <cols>
    <col min="1" max="1" width="10.7102803738318" style="2" customWidth="1"/>
    <col min="2" max="2" width="77.9439252336449" style="2" customWidth="1"/>
    <col min="3" max="3" width="25.7383177570093" style="2" customWidth="1"/>
    <col min="4" max="4" width="5.04672897196262" style="2" customWidth="1"/>
    <col min="5" max="5" width="6.35514018691589" style="2" customWidth="1"/>
    <col min="6" max="6" width="6.03738317757009" style="2" customWidth="1"/>
    <col min="7" max="16384" width="14" style="2"/>
  </cols>
  <sheetData>
    <row r="1" s="1" customFormat="1" customHeight="1" spans="1:3">
      <c r="A1" s="3" t="s">
        <v>481</v>
      </c>
      <c r="B1" s="3" t="s">
        <v>482</v>
      </c>
      <c r="C1" s="3" t="s">
        <v>5</v>
      </c>
    </row>
    <row r="2" customHeight="1" spans="1:3">
      <c r="A2" s="4" t="s">
        <v>427</v>
      </c>
      <c r="B2" s="4" t="s">
        <v>483</v>
      </c>
      <c r="C2" s="4" t="s">
        <v>484</v>
      </c>
    </row>
    <row r="3" customHeight="1" spans="1:3">
      <c r="A3" s="4" t="s">
        <v>485</v>
      </c>
      <c r="B3" s="4" t="s">
        <v>486</v>
      </c>
      <c r="C3" s="4" t="s">
        <v>484</v>
      </c>
    </row>
    <row r="4" customHeight="1" spans="1:3">
      <c r="A4" s="4" t="s">
        <v>10</v>
      </c>
      <c r="B4" s="4" t="s">
        <v>487</v>
      </c>
      <c r="C4" s="4" t="s">
        <v>484</v>
      </c>
    </row>
    <row r="5" customHeight="1" spans="1:3">
      <c r="A5" s="4" t="s">
        <v>488</v>
      </c>
      <c r="B5" s="4" t="s">
        <v>489</v>
      </c>
      <c r="C5" s="4" t="s">
        <v>490</v>
      </c>
    </row>
    <row r="6" customHeight="1" spans="1:3">
      <c r="A6" s="4" t="s">
        <v>430</v>
      </c>
      <c r="B6" s="4" t="s">
        <v>491</v>
      </c>
      <c r="C6" s="5"/>
    </row>
    <row r="7" customHeight="1" spans="1:3">
      <c r="A7" s="4" t="s">
        <v>492</v>
      </c>
      <c r="B7" s="4" t="s">
        <v>493</v>
      </c>
      <c r="C7" s="5"/>
    </row>
    <row r="8" customHeight="1" spans="1:3">
      <c r="A8" s="4" t="s">
        <v>494</v>
      </c>
      <c r="B8" s="4" t="s">
        <v>495</v>
      </c>
      <c r="C8" s="4" t="s">
        <v>484</v>
      </c>
    </row>
    <row r="9" customHeight="1" spans="1:3">
      <c r="A9" s="4" t="s">
        <v>496</v>
      </c>
      <c r="B9" s="4" t="s">
        <v>497</v>
      </c>
      <c r="C9" s="4"/>
    </row>
    <row r="10" customHeight="1" spans="1:3">
      <c r="A10" s="4" t="s">
        <v>434</v>
      </c>
      <c r="B10" s="4" t="s">
        <v>489</v>
      </c>
      <c r="C10" s="4" t="s">
        <v>490</v>
      </c>
    </row>
    <row r="11" customHeight="1" spans="1:3">
      <c r="A11" s="4" t="s">
        <v>498</v>
      </c>
      <c r="B11" s="4" t="s">
        <v>493</v>
      </c>
      <c r="C11" s="5"/>
    </row>
    <row r="12" customHeight="1" spans="1:3">
      <c r="A12" s="4" t="s">
        <v>436</v>
      </c>
      <c r="B12" s="4" t="s">
        <v>499</v>
      </c>
      <c r="C12" s="5"/>
    </row>
    <row r="13" customHeight="1" spans="1:3">
      <c r="A13" s="4" t="s">
        <v>12</v>
      </c>
      <c r="B13" s="4" t="s">
        <v>500</v>
      </c>
      <c r="C1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产品资料</vt:lpstr>
      <vt:lpstr>订单明细</vt:lpstr>
      <vt:lpstr>填写要求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</cp:lastModifiedBy>
  <dcterms:created xsi:type="dcterms:W3CDTF">2026-05-31T09:35:00Z</dcterms:created>
  <dcterms:modified xsi:type="dcterms:W3CDTF">2026-06-02T07:49:25Z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07E943271A464E36AA5CCE2F0E3152FB_12</vt:lpwstr>
  </property>
  <property fmtid="{D5CDD505-2E9C-101B-9397-08002B2CF9AE}" pid="4" name="KSOProductBuildVer">
    <vt:lpwstr>2052-12.1.0.26373</vt:lpwstr>
  </property>
  <property fmtid="{D5CDD505-2E9C-101B-9397-08002B2CF9AE}" pid="5" name="CalculationRule">
    <vt:i4>0</vt:i4>
  </property>
</Properties>
</file>